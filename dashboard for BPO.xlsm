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161d33f8aa149d6/Desktop/"/>
    </mc:Choice>
  </mc:AlternateContent>
  <xr:revisionPtr revIDLastSave="1" documentId="8_{D70BF4A3-A487-4B66-8954-C709F051F7C6}" xr6:coauthVersionLast="47" xr6:coauthVersionMax="47" xr10:uidLastSave="{86C5AF45-1F39-4E9A-A445-4E18FEBE08EE}"/>
  <bookViews>
    <workbookView xWindow="-110" yWindow="-110" windowWidth="19420" windowHeight="10300" xr2:uid="{58142FC9-0D3B-4DCD-809C-8FFF0BE0BA2D}"/>
  </bookViews>
  <sheets>
    <sheet name="Working Hours" sheetId="4" r:id="rId1"/>
    <sheet name="Work Efficincy" sheetId="5" r:id="rId2"/>
    <sheet name="Active Customer" sheetId="6" r:id="rId3"/>
    <sheet name="Attented calls" sheetId="7" r:id="rId4"/>
    <sheet name="DashBoard2" sheetId="8" r:id="rId5"/>
    <sheet name="Data" sheetId="1" r:id="rId6"/>
  </sheets>
  <externalReferences>
    <externalReference r:id="rId7"/>
  </externalReferences>
  <definedNames>
    <definedName name="BData">[1]Break!$A:$I</definedName>
    <definedName name="EData">[1]Efficiency!$A:$Q</definedName>
    <definedName name="PData">'[1]OverAll Performance'!$A:$J</definedName>
  </definedNames>
  <calcPr calcId="181029"/>
  <pivotCaches>
    <pivotCache cacheId="78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2" i="1"/>
  <c r="C3" i="1"/>
  <c r="C2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</calcChain>
</file>

<file path=xl/sharedStrings.xml><?xml version="1.0" encoding="utf-8"?>
<sst xmlns="http://schemas.openxmlformats.org/spreadsheetml/2006/main" count="341" uniqueCount="297">
  <si>
    <t>Emp Name</t>
  </si>
  <si>
    <t>Total Number of woking hours</t>
  </si>
  <si>
    <t xml:space="preserve">Work Efficiency </t>
  </si>
  <si>
    <t>Total Break Taken</t>
  </si>
  <si>
    <t>Attended Calls</t>
  </si>
  <si>
    <t>Active With Cust.</t>
  </si>
  <si>
    <t>Row Labels</t>
  </si>
  <si>
    <t>Sum of Active With Cust.</t>
  </si>
  <si>
    <t>Sum of Attended Calls</t>
  </si>
  <si>
    <t xml:space="preserve">Sum of Work Efficiency </t>
  </si>
  <si>
    <t>Anjali Deoram</t>
  </si>
  <si>
    <t>Anita Dixit</t>
  </si>
  <si>
    <t>Sunil Kumar</t>
  </si>
  <si>
    <t>Manoj Kumar</t>
  </si>
  <si>
    <t>Deepak Kumar</t>
  </si>
  <si>
    <t>Tahira Qureshi</t>
  </si>
  <si>
    <t>Rajesh Kumar</t>
  </si>
  <si>
    <t>Tapas Chakraborty</t>
  </si>
  <si>
    <t>Sheena Joseph</t>
  </si>
  <si>
    <t>Tariq Akhlaq</t>
  </si>
  <si>
    <t>Roma Rastogi</t>
  </si>
  <si>
    <t>Tasneem Khan</t>
  </si>
  <si>
    <t>Abdul Hamid</t>
  </si>
  <si>
    <t>Afzal Husain</t>
  </si>
  <si>
    <t>Anamika Gupta</t>
  </si>
  <si>
    <t>Anikuttan</t>
  </si>
  <si>
    <t>Anil Kumar</t>
  </si>
  <si>
    <t>Anita Ghore</t>
  </si>
  <si>
    <t>Anjali Sahay</t>
  </si>
  <si>
    <t>Annu Latika</t>
  </si>
  <si>
    <t>Anoop Narayan</t>
  </si>
  <si>
    <t>Anoop Raj</t>
  </si>
  <si>
    <t>Anubhuti Gupta</t>
  </si>
  <si>
    <t>Arun Kumar</t>
  </si>
  <si>
    <t>Ashish Kumar</t>
  </si>
  <si>
    <t>Ashok Kumar</t>
  </si>
  <si>
    <t>Ashok Mahto</t>
  </si>
  <si>
    <t>Atul Kumar</t>
  </si>
  <si>
    <t>Azam</t>
  </si>
  <si>
    <t>Bhagwat Singh</t>
  </si>
  <si>
    <t>Bindu Nair</t>
  </si>
  <si>
    <t>Daleep Singh</t>
  </si>
  <si>
    <t>Deepika Nigam</t>
  </si>
  <si>
    <t>Dinesh Kumar</t>
  </si>
  <si>
    <t>Hari Kumar</t>
  </si>
  <si>
    <t>Heeramani Choudhary</t>
  </si>
  <si>
    <t>Indra Pal</t>
  </si>
  <si>
    <t>Indra Singh</t>
  </si>
  <si>
    <t>Jagdish Chandra</t>
  </si>
  <si>
    <t>Jairaj Vatham</t>
  </si>
  <si>
    <t>Janardan Mishra</t>
  </si>
  <si>
    <t>Jitendra Kumar</t>
  </si>
  <si>
    <t>John D'Costa</t>
  </si>
  <si>
    <t>Julie S</t>
  </si>
  <si>
    <t>Jyoti Tulsani</t>
  </si>
  <si>
    <t>Kahkasha Parveen</t>
  </si>
  <si>
    <t>Kailash Nath</t>
  </si>
  <si>
    <t>Kalpana Agrawal</t>
  </si>
  <si>
    <t>Kamini Kumar</t>
  </si>
  <si>
    <t>Kamini Tiwari</t>
  </si>
  <si>
    <t>Kavita Sharma</t>
  </si>
  <si>
    <t>Kiran Khubchandani</t>
  </si>
  <si>
    <t>Kisun Sah</t>
  </si>
  <si>
    <t>Krishana Kumar</t>
  </si>
  <si>
    <t>Kunj Bihari</t>
  </si>
  <si>
    <t>Leena George</t>
  </si>
  <si>
    <t>Lilly Lucy</t>
  </si>
  <si>
    <t>Mangal Singh</t>
  </si>
  <si>
    <t>Manisha Shrivastava</t>
  </si>
  <si>
    <t>Manjusha Sinha</t>
  </si>
  <si>
    <t>ManjuTiwari Lab</t>
  </si>
  <si>
    <t>Masroor Adil</t>
  </si>
  <si>
    <t>Meena Zinjare</t>
  </si>
  <si>
    <t>Mehnaz Khan</t>
  </si>
  <si>
    <t>Mercy Thampi</t>
  </si>
  <si>
    <t>Miny Mole</t>
  </si>
  <si>
    <t>Mohd Rafi</t>
  </si>
  <si>
    <t>Mubeen Khan</t>
  </si>
  <si>
    <t>Mukesh Nagar</t>
  </si>
  <si>
    <t>Nandu Kumar</t>
  </si>
  <si>
    <t>Narayan Singh</t>
  </si>
  <si>
    <t>Neeraj Saxena</t>
  </si>
  <si>
    <t>Neeru Mehta</t>
  </si>
  <si>
    <t>Nikita Panwalkar</t>
  </si>
  <si>
    <t>Nitin Bhatia</t>
  </si>
  <si>
    <t>Om Prakash</t>
  </si>
  <si>
    <t>Omprakash O</t>
  </si>
  <si>
    <t>Owais Mohd</t>
  </si>
  <si>
    <t>Pankaj Shelkey</t>
  </si>
  <si>
    <t>Partha Sarathi</t>
  </si>
  <si>
    <t>Prabha Desikan</t>
  </si>
  <si>
    <t>Pramod Tiwari</t>
  </si>
  <si>
    <t>Prasannakumari S</t>
  </si>
  <si>
    <t>Praveen Kumar</t>
  </si>
  <si>
    <t>Rachel Mathew</t>
  </si>
  <si>
    <t>Rachita Anupam</t>
  </si>
  <si>
    <t>Rachna Chauhan</t>
  </si>
  <si>
    <t>Raj Kumar</t>
  </si>
  <si>
    <t>Rajeev Garg</t>
  </si>
  <si>
    <t>Rajeev Kumar</t>
  </si>
  <si>
    <t>Rajendra Gupta</t>
  </si>
  <si>
    <t>Rajendra Kumar</t>
  </si>
  <si>
    <t>Rajendra Prasad</t>
  </si>
  <si>
    <t>Rajesh Sharma</t>
  </si>
  <si>
    <t>Raji Abraham</t>
  </si>
  <si>
    <t>Rajshree Dhabekar</t>
  </si>
  <si>
    <t>Rakhi Jodhani</t>
  </si>
  <si>
    <t>Ramji Prasad</t>
  </si>
  <si>
    <t>Rashid</t>
  </si>
  <si>
    <t>Rashmi Gajbe</t>
  </si>
  <si>
    <t>Ravi Kumar</t>
  </si>
  <si>
    <t>Ravinder Kaur</t>
  </si>
  <si>
    <t>Rekha Agarwal</t>
  </si>
  <si>
    <t>Rekha Gupta</t>
  </si>
  <si>
    <t xml:space="preserve">Rekha Jain </t>
  </si>
  <si>
    <t>Renu Pratap</t>
  </si>
  <si>
    <t>Ritu Bhatnagar</t>
  </si>
  <si>
    <t>Rohit Nishchal</t>
  </si>
  <si>
    <t>Roli Bhatnagar</t>
  </si>
  <si>
    <t>Roohi Haider</t>
  </si>
  <si>
    <t>Sajid Naqvi</t>
  </si>
  <si>
    <t>Salim</t>
  </si>
  <si>
    <t>Sanjay Hire</t>
  </si>
  <si>
    <t>Sanjiv Subherwal</t>
  </si>
  <si>
    <t>Sanju Ramdas</t>
  </si>
  <si>
    <t>Santosh Kumar</t>
  </si>
  <si>
    <t>Sapna Sharma</t>
  </si>
  <si>
    <t>Saroj Parita</t>
  </si>
  <si>
    <t>Shailaja Kamal</t>
  </si>
  <si>
    <t>Shailendra Barge</t>
  </si>
  <si>
    <t>Shankar Attendant</t>
  </si>
  <si>
    <t>Shashikant Tiwari</t>
  </si>
  <si>
    <t>Sheeba Joseph</t>
  </si>
  <si>
    <t>Shephali Jain</t>
  </si>
  <si>
    <t>Shivji Prasad</t>
  </si>
  <si>
    <t>Shubhanjali Joshi</t>
  </si>
  <si>
    <t>Shyamal Malakar</t>
  </si>
  <si>
    <t>Sneh Khan</t>
  </si>
  <si>
    <t>Sonaram Munda</t>
  </si>
  <si>
    <t>Sudama Kumar</t>
  </si>
  <si>
    <t>Sudhir Kumar</t>
  </si>
  <si>
    <t>Sunita Chawla</t>
  </si>
  <si>
    <t>Sunita Madnani</t>
  </si>
  <si>
    <t>Surendra Kumar</t>
  </si>
  <si>
    <t>Surendranath Thakur</t>
  </si>
  <si>
    <t>Sushma Khandelwal</t>
  </si>
  <si>
    <t>Swarnlata Borse</t>
  </si>
  <si>
    <t>Syed Naved</t>
  </si>
  <si>
    <t>Syed Saqib</t>
  </si>
  <si>
    <t>Syed Sohail</t>
  </si>
  <si>
    <t>System Operator</t>
  </si>
  <si>
    <t>Grand Total</t>
  </si>
  <si>
    <t>Employee</t>
  </si>
  <si>
    <t>Mum_Abdul Hamid (1008512)</t>
  </si>
  <si>
    <t>Mum_Afzal Husain (1008513)</t>
  </si>
  <si>
    <t>Mum_Anamika Gupta (1008514)</t>
  </si>
  <si>
    <t>Mum_Anikuttan (1008515)</t>
  </si>
  <si>
    <t>Mum_Anil Kumar (1008516)</t>
  </si>
  <si>
    <t>Mum_Anita Dixit (1008517)</t>
  </si>
  <si>
    <t>Mum_Anita Ghore (1008518)</t>
  </si>
  <si>
    <t>Mum_Anjali Deoram (1008519)</t>
  </si>
  <si>
    <t>Mum_Anjali Sahay (1008520)</t>
  </si>
  <si>
    <t>Mum_Annu Latika (1008521)</t>
  </si>
  <si>
    <t>Mum_Anoop Narayan (1008522)</t>
  </si>
  <si>
    <t>Mum_Anoop Raj (1008523)</t>
  </si>
  <si>
    <t>Mum_Anubhuti Gupta (1008524)</t>
  </si>
  <si>
    <t>Mum_Arun Kumar (1008525)</t>
  </si>
  <si>
    <t>Mum_Ashish Kumar (1008526)</t>
  </si>
  <si>
    <t>Mum_Ashok Kumar (1008527)</t>
  </si>
  <si>
    <t>Hyd_Ashok Mahto (1008531)</t>
  </si>
  <si>
    <t>Hyd_Atul Kumar (1008532)</t>
  </si>
  <si>
    <t>Hyd_Azam (1008533)</t>
  </si>
  <si>
    <t>Hyd_Bhagwat Singh (1008534)</t>
  </si>
  <si>
    <t>Hyd_Bindu Nair (1008535)</t>
  </si>
  <si>
    <t>Hyd_Daleep Singh (1008536)</t>
  </si>
  <si>
    <t>Hyd_Deepak Kumar (1008537)</t>
  </si>
  <si>
    <t>Hyd_Deepika Nigam (1008538)</t>
  </si>
  <si>
    <t>Hyd_Dinesh Kumar (1008539)</t>
  </si>
  <si>
    <t>Hyd_Hari Kumar (1008540)</t>
  </si>
  <si>
    <t>Hyd_Heeramani Choudhary (1008541)</t>
  </si>
  <si>
    <t>Hyd_Indra Pal (1008542)</t>
  </si>
  <si>
    <t>Hyd_Indra Singh (1008543)</t>
  </si>
  <si>
    <t>Hyd_Jagdish Chandra (1008544)</t>
  </si>
  <si>
    <t>Hyd_Jairaj Vatham (1008545)</t>
  </si>
  <si>
    <t>Hyd_Janardan Mishra (1008546)</t>
  </si>
  <si>
    <t>Hyd_Jitendra Kumar (1008547)</t>
  </si>
  <si>
    <t>Hyd_John D'Costa (1008548)</t>
  </si>
  <si>
    <t>Hyd_Julie S (1008549)</t>
  </si>
  <si>
    <t>Hyd_Jyoti Tulsani (1008550)</t>
  </si>
  <si>
    <t>Hyd_Kahkasha Parveen (1008551)</t>
  </si>
  <si>
    <t>Hyd_Kailash Nath (1008552)</t>
  </si>
  <si>
    <t>Hyd_Kalpana Agrawal (1008553)</t>
  </si>
  <si>
    <t>Hyd_Kamini Kumar (1008554)</t>
  </si>
  <si>
    <t>Hyd_Kamini Tiwari (1008555)</t>
  </si>
  <si>
    <t>Hyd_Kavita Sharma (1008556)</t>
  </si>
  <si>
    <t>Hyd_Kiran Khubchandani (1008557)</t>
  </si>
  <si>
    <t>Hyd_Kisun Sah (1008558)</t>
  </si>
  <si>
    <t>Hyd_Krishana Kumar (1008559)</t>
  </si>
  <si>
    <t>Hyd_Kunj Bihari (1008560)</t>
  </si>
  <si>
    <t>Hyd_Leena George (1008561)</t>
  </si>
  <si>
    <t>Hyd_Lilly Lucy (1008562)</t>
  </si>
  <si>
    <t>Hyd_Mangal Singh (1008563)</t>
  </si>
  <si>
    <t>Hyd_Manisha Shrivastava (1008564)</t>
  </si>
  <si>
    <t>Hyd_Manjusha Sinha (1008565)</t>
  </si>
  <si>
    <t>Hyd_ManjuTiwari Lab (1008566)</t>
  </si>
  <si>
    <t>Hyd_Manoj Kumar (1008567)</t>
  </si>
  <si>
    <t>Hyd_Manoj Kumar (1008568)</t>
  </si>
  <si>
    <t>Hyd_Masroor Adil (1008569)</t>
  </si>
  <si>
    <t>Hyd_Meena Zinjare (1008570)</t>
  </si>
  <si>
    <t>Hyd_Mehnaz Khan (1008571)</t>
  </si>
  <si>
    <t>Hyd_Mercy Thampi (1008572)</t>
  </si>
  <si>
    <t>Hyd_Miny Mole (1008573)</t>
  </si>
  <si>
    <t>Hyd_Mohd Rafi (1008574)</t>
  </si>
  <si>
    <t>Hyd_Mubeen Khan (1008575)</t>
  </si>
  <si>
    <t>Hyd_Mukesh Nagar (1008576)</t>
  </si>
  <si>
    <t>Hyd_Nandu Kumar (1008577)</t>
  </si>
  <si>
    <t>Hyd_Narayan Singh (1008578)</t>
  </si>
  <si>
    <t>Hyd_Neeraj Saxena (1008579)</t>
  </si>
  <si>
    <t>Hyd_Neeru Mehta (1008580)</t>
  </si>
  <si>
    <t>Hyd_Nikita Panwalkar (1008581)</t>
  </si>
  <si>
    <t>Hyd_Nitin Bhatia (1008582)</t>
  </si>
  <si>
    <t>Hyd_Om Prakash (1008583)</t>
  </si>
  <si>
    <t>Hyd_Omprakash O (1008584)</t>
  </si>
  <si>
    <t>Hyd_Owais Mohd (1008585)</t>
  </si>
  <si>
    <t>Hyd_Pankaj Shelkey (1008586)</t>
  </si>
  <si>
    <t>Hyd_Partha Sarathi (1008587)</t>
  </si>
  <si>
    <t>Hyd_Prabha Desikan (1008588)</t>
  </si>
  <si>
    <t>Hyd_Pramod Tiwari (1008589)</t>
  </si>
  <si>
    <t>Hyd_Prasannakumari S (1008590)</t>
  </si>
  <si>
    <t>Hyd_Praveen Kumar (1008591)</t>
  </si>
  <si>
    <t>Hyd_Rachel Mathew (1008592)</t>
  </si>
  <si>
    <t>Hyd_Rachita Anupam (1008593)</t>
  </si>
  <si>
    <t>Hyd_Rachna Chauhan (1008594)</t>
  </si>
  <si>
    <t>Hyd_Raj Kumar (1008595)</t>
  </si>
  <si>
    <t>Hyd_Rajeev Garg (1008596)</t>
  </si>
  <si>
    <t>Hyd_Rajeev Kumar (1008597)</t>
  </si>
  <si>
    <t>Hyd_Rajendra Gupta (1008598)</t>
  </si>
  <si>
    <t>Hyd_Rajendra Kumar (1008599)</t>
  </si>
  <si>
    <t>Hyd_Rajendra Prasad (1008600)</t>
  </si>
  <si>
    <t>Hyd_Rajesh Kumar (1008601)</t>
  </si>
  <si>
    <t>Hyd_Rajesh Kumar (1008602)</t>
  </si>
  <si>
    <t>Hyd_Rajesh Sharma (1008603)</t>
  </si>
  <si>
    <t>Hyd_Raji Abraham (1008604)</t>
  </si>
  <si>
    <t>Hyd_Rajshree Dhabekar (1008605)</t>
  </si>
  <si>
    <t>Hyd_Rakhi Jodhani (1008606)</t>
  </si>
  <si>
    <t>Hyd_Ramji Prasad (1008607)</t>
  </si>
  <si>
    <t>Del_Rashid (1008608)</t>
  </si>
  <si>
    <t>Del_Rashmi Gajbe (1008609)</t>
  </si>
  <si>
    <t>Del_Ravi Kumar (1008610)</t>
  </si>
  <si>
    <t>Del_Ravinder Kaur (1008611)</t>
  </si>
  <si>
    <t>Del_Rekha Agarwal (1008612)</t>
  </si>
  <si>
    <t>Del_Rekha Gupta (1008613)</t>
  </si>
  <si>
    <t>Del_Rekha Jain  (1008614)</t>
  </si>
  <si>
    <t>Del_Renu Pratap (1008615)</t>
  </si>
  <si>
    <t>Del_Ritu Bhatnagar (1008616)</t>
  </si>
  <si>
    <t>Del_Rohit Nishchal (1008617)</t>
  </si>
  <si>
    <t>Del_Roli Bhatnagar (1008618)</t>
  </si>
  <si>
    <t>Del_Roma Rastogi (1008619)</t>
  </si>
  <si>
    <t>Del_Roohi Haider (1008620)</t>
  </si>
  <si>
    <t>Del_Sajid Naqvi (1008621)</t>
  </si>
  <si>
    <t>Del_Salim (1008622)</t>
  </si>
  <si>
    <t>Del_Sanjay Hire (1008623)</t>
  </si>
  <si>
    <t>Del_Sanjiv Subherwal (1008624)</t>
  </si>
  <si>
    <t>Del_Sanju Ramdas (1008625)</t>
  </si>
  <si>
    <t>Del_Santosh Kumar (1008628)</t>
  </si>
  <si>
    <t>Del_Sapna Sharma (1008629)</t>
  </si>
  <si>
    <t>Del_Saroj Parita (1008630)</t>
  </si>
  <si>
    <t>Del_Shailaja Kamal (1008631)</t>
  </si>
  <si>
    <t>Del_Shailendra Barge (1008632)</t>
  </si>
  <si>
    <t>Del_Shankar Attendant (1008633)</t>
  </si>
  <si>
    <t>Del_Shashikant Tiwari (1008634)</t>
  </si>
  <si>
    <t>Del_Sheeba Joseph (1008635)</t>
  </si>
  <si>
    <t>Del_Sheena Joseph (1008636)</t>
  </si>
  <si>
    <t>Del_Shephali Jain (1008637)</t>
  </si>
  <si>
    <t>Del_Shivji Prasad (1008638)</t>
  </si>
  <si>
    <t>Del_Shubhanjali Joshi (1008639)</t>
  </si>
  <si>
    <t>Del_Shyamal Malakar (1008640)</t>
  </si>
  <si>
    <t>Del_Sneh Khan (1008641)</t>
  </si>
  <si>
    <t>Del_Sonaram Munda (1008642)</t>
  </si>
  <si>
    <t>Del_Sudama Kumar (1008643)</t>
  </si>
  <si>
    <t>Del_Sudhir Kumar (1008644)</t>
  </si>
  <si>
    <t>Del_Sunil Kumar (1008646)</t>
  </si>
  <si>
    <t>Del_Sunita Chawla (1008647)</t>
  </si>
  <si>
    <t>Del_Sunita Madnani (1008648)</t>
  </si>
  <si>
    <t>Del_Surendra Kumar (1008649)</t>
  </si>
  <si>
    <t>Del_Surendranath Thakur (1008650)</t>
  </si>
  <si>
    <t>Del_Sushma Khandelwal (1008651)</t>
  </si>
  <si>
    <t>Del_Swarnlata Borse (1008652)</t>
  </si>
  <si>
    <t>Del_Syed Naved (1008653)</t>
  </si>
  <si>
    <t>Del_Syed Saqib (1008654)</t>
  </si>
  <si>
    <t>Del_Syed Sohail (1008655)</t>
  </si>
  <si>
    <t>Del_System Operator (1008656)</t>
  </si>
  <si>
    <t>Del_Tahira Qureshi (1008657)</t>
  </si>
  <si>
    <t>Del_Tapas Chakraborty (1008658)</t>
  </si>
  <si>
    <t>Del_Tariq Akhlaq (1008659)</t>
  </si>
  <si>
    <t>Del_Tasneem Khan (1008660)</t>
  </si>
  <si>
    <t>Number of woking hours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</si>
</sst>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000000"/>
      <name val="Tahoma"/>
      <family val="2"/>
    </font>
    <font>
      <b/>
      <sz val="10"/>
      <color rgb="FF000000"/>
      <name val="Tahoma"/>
      <family val="2"/>
    </font>
    <font>
      <b/>
      <sz val="10"/>
      <color theme="0"/>
      <name val="Tahoma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608BB4"/>
      </left>
      <right style="thin">
        <color rgb="FF608BB4"/>
      </right>
      <top/>
      <bottom style="thin">
        <color rgb="FF608BB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1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49" fontId="4" fillId="2" borderId="2" xfId="0" applyNumberFormat="1" applyFont="1" applyFill="1" applyBorder="1" applyAlignment="1">
      <alignment horizontal="center" vertical="center" wrapText="1"/>
    </xf>
    <xf numFmtId="164" fontId="0" fillId="0" borderId="0" xfId="0" applyNumberFormat="1"/>
    <xf numFmtId="9" fontId="0" fillId="0" borderId="0" xfId="1" applyFont="1"/>
    <xf numFmtId="0" fontId="0" fillId="0" borderId="0" xfId="0" applyAlignment="1">
      <alignment horizontal="left"/>
    </xf>
    <xf numFmtId="164" fontId="0" fillId="0" borderId="0" xfId="0" pivotButton="1" applyNumberFormat="1"/>
    <xf numFmtId="0" fontId="0" fillId="0" borderId="0" xfId="0" pivotButton="1"/>
    <xf numFmtId="0" fontId="0" fillId="0" borderId="0" xfId="0" applyNumberFormat="1"/>
    <xf numFmtId="49" fontId="6" fillId="3" borderId="2" xfId="0" applyNumberFormat="1" applyFont="1" applyFill="1" applyBorder="1" applyAlignment="1">
      <alignment horizontal="center" vertical="top"/>
    </xf>
    <xf numFmtId="49" fontId="5" fillId="3" borderId="2" xfId="0" applyNumberFormat="1" applyFont="1" applyFill="1" applyBorder="1" applyAlignment="1">
      <alignment horizontal="center" vertical="top"/>
    </xf>
    <xf numFmtId="49" fontId="5" fillId="4" borderId="3" xfId="0" applyNumberFormat="1" applyFont="1" applyFill="1" applyBorder="1" applyAlignment="1">
      <alignment horizontal="center" vertical="top"/>
    </xf>
    <xf numFmtId="9" fontId="0" fillId="0" borderId="0" xfId="0" applyNumberFormat="1"/>
    <xf numFmtId="0" fontId="3" fillId="0" borderId="0" xfId="0" applyFont="1"/>
    <xf numFmtId="0" fontId="0" fillId="5" borderId="0" xfId="0" applyFill="1"/>
    <xf numFmtId="0" fontId="0" fillId="5" borderId="0" xfId="0" applyFill="1" applyAlignment="1">
      <alignment horizontal="left"/>
    </xf>
    <xf numFmtId="164" fontId="0" fillId="5" borderId="0" xfId="0" applyNumberFormat="1" applyFill="1"/>
    <xf numFmtId="9" fontId="0" fillId="5" borderId="0" xfId="0" applyNumberFormat="1" applyFill="1"/>
    <xf numFmtId="0" fontId="0" fillId="0" borderId="0" xfId="0" applyFill="1"/>
    <xf numFmtId="0" fontId="3" fillId="0" borderId="0" xfId="0" applyFont="1" applyFill="1"/>
  </cellXfs>
  <cellStyles count="2">
    <cellStyle name="Normal" xfId="0" builtinId="0"/>
    <cellStyle name="Percent" xfId="1" builtinId="5"/>
  </cellStyles>
  <dxfs count="17">
    <dxf>
      <fill>
        <patternFill patternType="solid">
          <bgColor theme="1" tint="0.499984740745262"/>
        </patternFill>
      </fill>
    </dxf>
    <dxf>
      <fill>
        <patternFill patternType="solid">
          <bgColor theme="1" tint="0.499984740745262"/>
        </patternFill>
      </fill>
    </dxf>
    <dxf>
      <fill>
        <patternFill patternType="solid">
          <bgColor theme="1" tint="0.499984740745262"/>
        </patternFill>
      </fill>
    </dxf>
    <dxf>
      <fill>
        <patternFill patternType="solid">
          <bgColor theme="1" tint="0.499984740745262"/>
        </patternFill>
      </fill>
    </dxf>
    <dxf>
      <fill>
        <patternFill patternType="solid">
          <bgColor theme="1" tint="0.499984740745262"/>
        </patternFill>
      </fill>
    </dxf>
    <dxf>
      <fill>
        <patternFill patternType="solid">
          <bgColor theme="1" tint="0.499984740745262"/>
        </patternFill>
      </fill>
    </dxf>
    <dxf>
      <fill>
        <patternFill patternType="solid">
          <bgColor theme="1" tint="0.499984740745262"/>
        </patternFill>
      </fill>
    </dxf>
    <dxf>
      <fill>
        <patternFill patternType="solid">
          <bgColor theme="1" tint="0.499984740745262"/>
        </patternFill>
      </fill>
    </dxf>
    <dxf>
      <fill>
        <patternFill patternType="solid">
          <bgColor theme="1" tint="0.499984740745262"/>
        </patternFill>
      </fill>
    </dxf>
    <dxf>
      <fill>
        <patternFill patternType="solid">
          <bgColor theme="1" tint="0.499984740745262"/>
        </patternFill>
      </fill>
    </dxf>
    <dxf>
      <fill>
        <patternFill patternType="solid">
          <bgColor theme="1" tint="0.499984740745262"/>
        </patternFill>
      </fill>
    </dxf>
    <dxf>
      <fill>
        <patternFill patternType="solid">
          <bgColor theme="1" tint="0.499984740745262"/>
        </patternFill>
      </fill>
    </dxf>
    <dxf>
      <fill>
        <patternFill patternType="solid">
          <bgColor theme="1" tint="0.499984740745262"/>
        </patternFill>
      </fill>
    </dxf>
    <dxf>
      <fill>
        <patternFill patternType="solid">
          <bgColor theme="1" tint="0.499984740745262"/>
        </patternFill>
      </fill>
    </dxf>
    <dxf>
      <fill>
        <patternFill patternType="solid">
          <bgColor theme="1" tint="0.499984740745262"/>
        </patternFill>
      </fill>
    </dxf>
    <dxf>
      <numFmt numFmtId="164" formatCode="[$-F400]h:mm:ss\ AM/PM"/>
    </dxf>
    <dxf>
      <numFmt numFmtId="164" formatCode="[$-F400]h:mm:ss\ AM/P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for BPO.xlsm]Working Hours!PivotTable29</c:name>
    <c:fmtId val="21"/>
  </c:pivotSource>
  <c:chart>
    <c:autoTitleDeleted val="1"/>
    <c:pivotFmts>
      <c:pivotFmt>
        <c:idx val="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'Working Hours'!$E$3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'Working Hours'!$D$4:$D$9</c:f>
              <c:strCache>
                <c:ptCount val="6"/>
                <c:pt idx="0">
                  <c:v>Anjali Deoram</c:v>
                </c:pt>
                <c:pt idx="1">
                  <c:v>Daleep Singh</c:v>
                </c:pt>
                <c:pt idx="2">
                  <c:v>Kavita Sharma</c:v>
                </c:pt>
                <c:pt idx="3">
                  <c:v>Manoj Kumar</c:v>
                </c:pt>
                <c:pt idx="4">
                  <c:v>Rajesh Kumar</c:v>
                </c:pt>
                <c:pt idx="5">
                  <c:v>Roma Rastogi</c:v>
                </c:pt>
              </c:strCache>
            </c:strRef>
          </c:cat>
          <c:val>
            <c:numRef>
              <c:f>'Working Hours'!$E$4:$E$9</c:f>
              <c:numCache>
                <c:formatCode>[$-F400]h:mm:ss\ AM/PM</c:formatCode>
                <c:ptCount val="6"/>
                <c:pt idx="0">
                  <c:v>0.24453703703703702</c:v>
                </c:pt>
                <c:pt idx="1">
                  <c:v>0.22703703703703704</c:v>
                </c:pt>
                <c:pt idx="2">
                  <c:v>0.22660879629629629</c:v>
                </c:pt>
                <c:pt idx="3">
                  <c:v>0.37417824074074074</c:v>
                </c:pt>
                <c:pt idx="4">
                  <c:v>0.41770833333333335</c:v>
                </c:pt>
                <c:pt idx="5">
                  <c:v>0.2330787037037037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D-458E-B0F7-849684CF4D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995580944"/>
        <c:axId val="995579024"/>
        <c:axId val="0"/>
      </c:bar3DChart>
      <c:catAx>
        <c:axId val="9955809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5579024"/>
        <c:crosses val="autoZero"/>
        <c:auto val="1"/>
        <c:lblAlgn val="ctr"/>
        <c:lblOffset val="100"/>
        <c:noMultiLvlLbl val="0"/>
      </c:catAx>
      <c:valAx>
        <c:axId val="995579024"/>
        <c:scaling>
          <c:orientation val="minMax"/>
        </c:scaling>
        <c:delete val="1"/>
        <c:axPos val="b"/>
        <c:numFmt formatCode="[$-F400]h:mm:ss\ AM/PM" sourceLinked="1"/>
        <c:majorTickMark val="none"/>
        <c:minorTickMark val="none"/>
        <c:tickLblPos val="nextTo"/>
        <c:crossAx val="995580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pivotSource>
    <c:name>[dashboard for BPO.xlsm]Working Hours!PivotTable30</c:name>
    <c:fmtId val="34"/>
  </c:pivotSource>
  <c:chart>
    <c:autoTitleDeleted val="1"/>
    <c:pivotFmts>
      <c:pivotFmt>
        <c:idx val="0"/>
        <c:spPr>
          <a:gradFill rotWithShape="1">
            <a:gsLst>
              <a:gs pos="0">
                <a:schemeClr val="dk1">
                  <a:tint val="88500"/>
                  <a:satMod val="103000"/>
                  <a:lumMod val="102000"/>
                  <a:tint val="94000"/>
                </a:schemeClr>
              </a:gs>
              <a:gs pos="50000">
                <a:schemeClr val="dk1">
                  <a:tint val="88500"/>
                  <a:satMod val="110000"/>
                  <a:lumMod val="100000"/>
                  <a:shade val="100000"/>
                </a:schemeClr>
              </a:gs>
              <a:gs pos="100000">
                <a:schemeClr val="dk1">
                  <a:tint val="885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dk1">
                  <a:tint val="55000"/>
                  <a:satMod val="103000"/>
                  <a:lumMod val="102000"/>
                  <a:tint val="94000"/>
                </a:schemeClr>
              </a:gs>
              <a:gs pos="50000">
                <a:schemeClr val="dk1">
                  <a:tint val="55000"/>
                  <a:satMod val="110000"/>
                  <a:lumMod val="100000"/>
                  <a:shade val="100000"/>
                </a:schemeClr>
              </a:gs>
              <a:gs pos="100000">
                <a:schemeClr val="dk1">
                  <a:tint val="55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'Working Hours'!$H$3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dk1">
                      <a:tint val="885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dk1">
                      <a:tint val="885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dk1">
                      <a:tint val="885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dk1">
                      <a:tint val="5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dk1">
                      <a:tint val="5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dk1">
                      <a:tint val="5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2-4BE6-4111-8B3E-E545A618102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dk1">
                      <a:tint val="7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dk1">
                      <a:tint val="7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dk1">
                      <a:tint val="7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dk1">
                      <a:tint val="985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dk1">
                      <a:tint val="985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dk1">
                      <a:tint val="985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dk1">
                      <a:tint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dk1">
                      <a:tint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dk1">
                      <a:tint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dk1">
                      <a:tint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dk1">
                      <a:tint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dk1">
                      <a:tint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'Working Hours'!$G$4:$G$9</c:f>
              <c:strCache>
                <c:ptCount val="6"/>
                <c:pt idx="0">
                  <c:v>Anita Dixit</c:v>
                </c:pt>
                <c:pt idx="1">
                  <c:v>Deepak Kumar</c:v>
                </c:pt>
                <c:pt idx="2">
                  <c:v>Kamini Kumar</c:v>
                </c:pt>
                <c:pt idx="3">
                  <c:v>Kavita Sharma</c:v>
                </c:pt>
                <c:pt idx="4">
                  <c:v>Manoj Kumar</c:v>
                </c:pt>
                <c:pt idx="5">
                  <c:v>Rajesh Kumar</c:v>
                </c:pt>
              </c:strCache>
            </c:strRef>
          </c:cat>
          <c:val>
            <c:numRef>
              <c:f>'Working Hours'!$H$4:$H$9</c:f>
              <c:numCache>
                <c:formatCode>0%</c:formatCode>
                <c:ptCount val="6"/>
                <c:pt idx="0">
                  <c:v>0.65495030262646503</c:v>
                </c:pt>
                <c:pt idx="1">
                  <c:v>0.65029060203969702</c:v>
                </c:pt>
                <c:pt idx="2">
                  <c:v>0.64380836602751801</c:v>
                </c:pt>
                <c:pt idx="3">
                  <c:v>0.64717479317021698</c:v>
                </c:pt>
                <c:pt idx="4">
                  <c:v>1.064298009533315</c:v>
                </c:pt>
                <c:pt idx="5">
                  <c:v>1.122824596941316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E6-4111-8B3E-E545A618102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for BPO.xlsm]Working Hours!PivotTable19</c:name>
    <c:fmtId val="22"/>
  </c:pivotSource>
  <c:chart>
    <c:autoTitleDeleted val="1"/>
    <c:pivotFmts>
      <c:pivotFmt>
        <c:idx val="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540000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330355701796717"/>
          <c:y val="0.20577528959358196"/>
          <c:w val="0.88669644298203287"/>
          <c:h val="0.5884494208128361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'Working Hours'!$B$3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'Working Hours'!$A$4:$A$9</c:f>
              <c:strCache>
                <c:ptCount val="6"/>
                <c:pt idx="0">
                  <c:v>Anjali Deoram</c:v>
                </c:pt>
                <c:pt idx="1">
                  <c:v>Manoj Kumar</c:v>
                </c:pt>
                <c:pt idx="2">
                  <c:v>Rajesh Kumar</c:v>
                </c:pt>
                <c:pt idx="3">
                  <c:v>Sheena Joseph</c:v>
                </c:pt>
                <c:pt idx="4">
                  <c:v>Tahira Qureshi</c:v>
                </c:pt>
                <c:pt idx="5">
                  <c:v>Tasneem Khan</c:v>
                </c:pt>
              </c:strCache>
            </c:strRef>
          </c:cat>
          <c:val>
            <c:numRef>
              <c:f>'Working Hours'!$B$4:$B$9</c:f>
              <c:numCache>
                <c:formatCode>[$-F400]h:mm:ss\ AM/PM</c:formatCode>
                <c:ptCount val="6"/>
                <c:pt idx="0">
                  <c:v>0.38646990740740739</c:v>
                </c:pt>
                <c:pt idx="1">
                  <c:v>0.66396990740740747</c:v>
                </c:pt>
                <c:pt idx="2">
                  <c:v>0.67937500000000006</c:v>
                </c:pt>
                <c:pt idx="3">
                  <c:v>0.36775462962962963</c:v>
                </c:pt>
                <c:pt idx="4">
                  <c:v>0.36542824074074076</c:v>
                </c:pt>
                <c:pt idx="5">
                  <c:v>0.35688657407407409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1-4A04-98F0-512D7DE795C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653552144"/>
        <c:axId val="1653550704"/>
      </c:barChart>
      <c:catAx>
        <c:axId val="16535521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653550704"/>
        <c:crosses val="autoZero"/>
        <c:auto val="1"/>
        <c:lblAlgn val="ctr"/>
        <c:lblOffset val="100"/>
        <c:noMultiLvlLbl val="0"/>
      </c:catAx>
      <c:valAx>
        <c:axId val="1653550704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1653552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[dashboard for BPO.xlsm]Work Efficincy!PivotTable20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spPr>
            <a:gradFill rotWithShape="1">
              <a:gsLst>
                <a:gs pos="0">
                  <a:srgbClr val="4472C4">
                    <a:lumMod val="110000"/>
                    <a:satMod val="105000"/>
                    <a:tint val="67000"/>
                  </a:srgbClr>
                </a:gs>
                <a:gs pos="50000">
                  <a:srgbClr val="4472C4">
                    <a:lumMod val="105000"/>
                    <a:satMod val="103000"/>
                    <a:tint val="73000"/>
                  </a:srgbClr>
                </a:gs>
                <a:gs pos="100000">
                  <a:srgbClr val="4472C4">
                    <a:lumMod val="105000"/>
                    <a:satMod val="109000"/>
                    <a:tint val="81000"/>
                  </a:srgbClr>
                </a:gs>
              </a:gsLst>
              <a:lin ang="5400000" scaled="0"/>
            </a:gradFill>
            <a:ln w="6350" cap="flat" cmpd="sng" algn="ctr">
              <a:solidFill>
                <a:srgbClr val="4472C4"/>
              </a:solidFill>
              <a:prstDash val="solid"/>
              <a:miter lim="800000"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'Work Efficincy'!$B$3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'Work Efficincy'!$A$4:$A$9</c:f>
              <c:strCache>
                <c:ptCount val="5"/>
                <c:pt idx="0">
                  <c:v>Anjali Deoram</c:v>
                </c:pt>
                <c:pt idx="1">
                  <c:v>Daleep Singh</c:v>
                </c:pt>
                <c:pt idx="2">
                  <c:v>Manoj Kumar</c:v>
                </c:pt>
                <c:pt idx="3">
                  <c:v>Rajesh Kumar</c:v>
                </c:pt>
                <c:pt idx="4">
                  <c:v>Roma Rastogi</c:v>
                </c:pt>
              </c:strCache>
            </c:strRef>
          </c:cat>
          <c:val>
            <c:numRef>
              <c:f>'Work Efficincy'!$B$4:$B$9</c:f>
              <c:numCache>
                <c:formatCode>[$-F400]h:mm:ss\ AM/PM</c:formatCode>
                <c:ptCount val="5"/>
                <c:pt idx="0">
                  <c:v>0.24453703703703702</c:v>
                </c:pt>
                <c:pt idx="1">
                  <c:v>0.22703703703703704</c:v>
                </c:pt>
                <c:pt idx="2">
                  <c:v>0.37417824074074074</c:v>
                </c:pt>
                <c:pt idx="3">
                  <c:v>0.41770833333333335</c:v>
                </c:pt>
                <c:pt idx="4">
                  <c:v>0.2330787037037037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CC-465D-9F3E-132A019CC35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3565135"/>
        <c:axId val="53566575"/>
        <c:axId val="0"/>
      </c:bar3DChart>
      <c:catAx>
        <c:axId val="5356513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3566575"/>
        <c:crosses val="autoZero"/>
        <c:auto val="1"/>
        <c:lblAlgn val="ctr"/>
        <c:lblOffset val="100"/>
        <c:noMultiLvlLbl val="0"/>
      </c:catAx>
      <c:valAx>
        <c:axId val="53566575"/>
        <c:scaling>
          <c:orientation val="minMax"/>
        </c:scaling>
        <c:delete val="1"/>
        <c:axPos val="b"/>
        <c:numFmt formatCode="[$-F400]h:mm:ss\ AM/PM" sourceLinked="1"/>
        <c:majorTickMark val="none"/>
        <c:minorTickMark val="none"/>
        <c:tickLblPos val="nextTo"/>
        <c:crossAx val="535651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[dashboard for BPO.xlsm]Active Customer!PivotTable21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'Active Customer'!$B$3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1">
                      <a:tint val="5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'Active Customer'!$A$4:$A$9</c:f>
              <c:strCache>
                <c:ptCount val="5"/>
                <c:pt idx="0">
                  <c:v>Anita Dixit</c:v>
                </c:pt>
                <c:pt idx="1">
                  <c:v>Deepak Kumar</c:v>
                </c:pt>
                <c:pt idx="2">
                  <c:v>Kavita Sharma</c:v>
                </c:pt>
                <c:pt idx="3">
                  <c:v>Manoj Kumar</c:v>
                </c:pt>
                <c:pt idx="4">
                  <c:v>Rajesh Kumar</c:v>
                </c:pt>
              </c:strCache>
            </c:strRef>
          </c:cat>
          <c:val>
            <c:numRef>
              <c:f>'Active Customer'!$B$4:$B$9</c:f>
              <c:numCache>
                <c:formatCode>0%</c:formatCode>
                <c:ptCount val="5"/>
                <c:pt idx="0">
                  <c:v>0.65495030262646503</c:v>
                </c:pt>
                <c:pt idx="1">
                  <c:v>0.65029060203969702</c:v>
                </c:pt>
                <c:pt idx="2">
                  <c:v>0.64717479317021698</c:v>
                </c:pt>
                <c:pt idx="3">
                  <c:v>1.064298009533315</c:v>
                </c:pt>
                <c:pt idx="4">
                  <c:v>1.122824596941316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DA-4104-837A-B4285E608DD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[dashboard for BPO.xlsm]Attented calls!PivotTable22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6350" cap="flat" cmpd="sng" algn="ctr">
              <a:solidFill>
                <a:schemeClr val="accent4"/>
              </a:solidFill>
              <a:prstDash val="solid"/>
              <a:miter lim="800000"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2.1472392638036696E-2"/>
              <c:y val="-0.39316239316239315"/>
            </c:manualLayout>
          </c:layout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6350" cap="flat" cmpd="sng" algn="ctr">
              <a:solidFill>
                <a:schemeClr val="accent4"/>
              </a:solidFill>
              <a:prstDash val="solid"/>
              <a:miter lim="800000"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>
                    <a:gd name="adj1" fmla="val 3574"/>
                    <a:gd name="adj2" fmla="val -53542"/>
                  </a:avLst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-1.5337423312883436E-2"/>
              <c:y val="-0.34757834757834766"/>
            </c:manualLayout>
          </c:layout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6350" cap="flat" cmpd="sng" algn="ctr">
              <a:solidFill>
                <a:schemeClr val="accent4"/>
              </a:solidFill>
              <a:prstDash val="solid"/>
              <a:miter lim="800000"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>
                    <a:gd name="adj1" fmla="val -20649"/>
                    <a:gd name="adj2" fmla="val 45610"/>
                  </a:avLst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-3.0674846625766871E-2"/>
              <c:y val="-0.30769230769230776"/>
            </c:manualLayout>
          </c:layout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6350" cap="flat" cmpd="sng" algn="ctr">
              <a:solidFill>
                <a:schemeClr val="accent4"/>
              </a:solidFill>
              <a:prstDash val="solid"/>
              <a:miter lim="800000"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>
                    <a:gd name="adj1" fmla="val -18140"/>
                    <a:gd name="adj2" fmla="val 50955"/>
                  </a:avLst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-3.6809815950920276E-2"/>
              <c:y val="-0.24501424501424512"/>
            </c:manualLayout>
          </c:layout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6350" cap="flat" cmpd="sng" algn="ctr">
              <a:solidFill>
                <a:schemeClr val="accent4"/>
              </a:solidFill>
              <a:prstDash val="solid"/>
              <a:miter lim="800000"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>
                    <a:gd name="adj1" fmla="val 20355"/>
                    <a:gd name="adj2" fmla="val 33712"/>
                  </a:avLst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-6.7484662576687116E-2"/>
              <c:y val="-0.20512820512820518"/>
            </c:manualLayout>
          </c:layout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6350" cap="flat" cmpd="sng" algn="ctr">
              <a:solidFill>
                <a:schemeClr val="accent4"/>
              </a:solidFill>
              <a:prstDash val="solid"/>
              <a:miter lim="800000"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>
                    <a:gd name="adj1" fmla="val 18489"/>
                    <a:gd name="adj2" fmla="val 29746"/>
                  </a:avLst>
                </a:prstGeom>
                <a:noFill/>
                <a:ln>
                  <a:noFill/>
                </a:ln>
              </c15:spPr>
            </c:ext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'Attented calls'!$B$3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dLbl>
              <c:idx val="0"/>
              <c:layout>
                <c:manualLayout>
                  <c:x val="-6.7484662576687116E-2"/>
                  <c:y val="-0.20512820512820518"/>
                </c:manualLayout>
              </c:layout>
              <c:spPr>
                <a:gradFill rotWithShape="1">
                  <a:gsLst>
                    <a:gs pos="0">
                      <a:schemeClr val="accent4">
                        <a:lumMod val="110000"/>
                        <a:satMod val="105000"/>
                        <a:tint val="67000"/>
                      </a:schemeClr>
                    </a:gs>
                    <a:gs pos="50000">
                      <a:schemeClr val="accent4">
                        <a:lumMod val="105000"/>
                        <a:satMod val="103000"/>
                        <a:tint val="73000"/>
                      </a:schemeClr>
                    </a:gs>
                    <a:gs pos="100000">
                      <a:schemeClr val="accent4">
                        <a:lumMod val="105000"/>
                        <a:satMod val="109000"/>
                        <a:tint val="81000"/>
                      </a:schemeClr>
                    </a:gs>
                  </a:gsLst>
                  <a:lin ang="5400000" scaled="0"/>
                </a:gradFill>
                <a:ln w="6350" cap="flat" cmpd="sng" algn="ctr">
                  <a:solidFill>
                    <a:schemeClr val="accent4"/>
                  </a:solidFill>
                  <a:prstDash val="solid"/>
                  <a:miter lim="800000"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18489"/>
                        <a:gd name="adj2" fmla="val 29746"/>
                      </a:avLst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6-EF72-4449-B6A9-28700B816B1D}"/>
                </c:ext>
              </c:extLst>
            </c:dLbl>
            <c:dLbl>
              <c:idx val="1"/>
              <c:layout>
                <c:manualLayout>
                  <c:x val="-3.6809815950920276E-2"/>
                  <c:y val="-0.24501424501424512"/>
                </c:manualLayout>
              </c:layout>
              <c:spPr>
                <a:gradFill rotWithShape="1">
                  <a:gsLst>
                    <a:gs pos="0">
                      <a:schemeClr val="accent4">
                        <a:lumMod val="110000"/>
                        <a:satMod val="105000"/>
                        <a:tint val="67000"/>
                      </a:schemeClr>
                    </a:gs>
                    <a:gs pos="50000">
                      <a:schemeClr val="accent4">
                        <a:lumMod val="105000"/>
                        <a:satMod val="103000"/>
                        <a:tint val="73000"/>
                      </a:schemeClr>
                    </a:gs>
                    <a:gs pos="100000">
                      <a:schemeClr val="accent4">
                        <a:lumMod val="105000"/>
                        <a:satMod val="109000"/>
                        <a:tint val="81000"/>
                      </a:schemeClr>
                    </a:gs>
                  </a:gsLst>
                  <a:lin ang="5400000" scaled="0"/>
                </a:gradFill>
                <a:ln w="6350" cap="flat" cmpd="sng" algn="ctr">
                  <a:solidFill>
                    <a:schemeClr val="accent4"/>
                  </a:solidFill>
                  <a:prstDash val="solid"/>
                  <a:miter lim="800000"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20355"/>
                        <a:gd name="adj2" fmla="val 33712"/>
                      </a:avLst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EF72-4449-B6A9-28700B816B1D}"/>
                </c:ext>
              </c:extLst>
            </c:dLbl>
            <c:dLbl>
              <c:idx val="2"/>
              <c:layout>
                <c:manualLayout>
                  <c:x val="-3.0674846625766871E-2"/>
                  <c:y val="-0.30769230769230776"/>
                </c:manualLayout>
              </c:layout>
              <c:spPr>
                <a:gradFill rotWithShape="1">
                  <a:gsLst>
                    <a:gs pos="0">
                      <a:schemeClr val="accent4">
                        <a:lumMod val="110000"/>
                        <a:satMod val="105000"/>
                        <a:tint val="67000"/>
                      </a:schemeClr>
                    </a:gs>
                    <a:gs pos="50000">
                      <a:schemeClr val="accent4">
                        <a:lumMod val="105000"/>
                        <a:satMod val="103000"/>
                        <a:tint val="73000"/>
                      </a:schemeClr>
                    </a:gs>
                    <a:gs pos="100000">
                      <a:schemeClr val="accent4">
                        <a:lumMod val="105000"/>
                        <a:satMod val="109000"/>
                        <a:tint val="81000"/>
                      </a:schemeClr>
                    </a:gs>
                  </a:gsLst>
                  <a:lin ang="5400000" scaled="0"/>
                </a:gradFill>
                <a:ln w="6350" cap="flat" cmpd="sng" algn="ctr">
                  <a:solidFill>
                    <a:schemeClr val="accent4"/>
                  </a:solidFill>
                  <a:prstDash val="solid"/>
                  <a:miter lim="800000"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-18140"/>
                        <a:gd name="adj2" fmla="val 50955"/>
                      </a:avLst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4-EF72-4449-B6A9-28700B816B1D}"/>
                </c:ext>
              </c:extLst>
            </c:dLbl>
            <c:dLbl>
              <c:idx val="3"/>
              <c:layout>
                <c:manualLayout>
                  <c:x val="-1.5337423312883436E-2"/>
                  <c:y val="-0.34757834757834766"/>
                </c:manualLayout>
              </c:layout>
              <c:spPr>
                <a:gradFill rotWithShape="1">
                  <a:gsLst>
                    <a:gs pos="0">
                      <a:schemeClr val="accent4">
                        <a:lumMod val="110000"/>
                        <a:satMod val="105000"/>
                        <a:tint val="67000"/>
                      </a:schemeClr>
                    </a:gs>
                    <a:gs pos="50000">
                      <a:schemeClr val="accent4">
                        <a:lumMod val="105000"/>
                        <a:satMod val="103000"/>
                        <a:tint val="73000"/>
                      </a:schemeClr>
                    </a:gs>
                    <a:gs pos="100000">
                      <a:schemeClr val="accent4">
                        <a:lumMod val="105000"/>
                        <a:satMod val="109000"/>
                        <a:tint val="81000"/>
                      </a:schemeClr>
                    </a:gs>
                  </a:gsLst>
                  <a:lin ang="5400000" scaled="0"/>
                </a:gradFill>
                <a:ln w="6350" cap="flat" cmpd="sng" algn="ctr">
                  <a:solidFill>
                    <a:schemeClr val="accent4"/>
                  </a:solidFill>
                  <a:prstDash val="solid"/>
                  <a:miter lim="800000"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-20649"/>
                        <a:gd name="adj2" fmla="val 45610"/>
                      </a:avLst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EF72-4449-B6A9-28700B816B1D}"/>
                </c:ext>
              </c:extLst>
            </c:dLbl>
            <c:dLbl>
              <c:idx val="4"/>
              <c:layout>
                <c:manualLayout>
                  <c:x val="2.1472392638036696E-2"/>
                  <c:y val="-0.39316239316239315"/>
                </c:manualLayout>
              </c:layout>
              <c:spPr>
                <a:gradFill rotWithShape="1">
                  <a:gsLst>
                    <a:gs pos="0">
                      <a:schemeClr val="accent4">
                        <a:lumMod val="110000"/>
                        <a:satMod val="105000"/>
                        <a:tint val="67000"/>
                      </a:schemeClr>
                    </a:gs>
                    <a:gs pos="50000">
                      <a:schemeClr val="accent4">
                        <a:lumMod val="105000"/>
                        <a:satMod val="103000"/>
                        <a:tint val="73000"/>
                      </a:schemeClr>
                    </a:gs>
                    <a:gs pos="100000">
                      <a:schemeClr val="accent4">
                        <a:lumMod val="105000"/>
                        <a:satMod val="109000"/>
                        <a:tint val="81000"/>
                      </a:schemeClr>
                    </a:gs>
                  </a:gsLst>
                  <a:lin ang="5400000" scaled="0"/>
                </a:gradFill>
                <a:ln w="6350" cap="flat" cmpd="sng" algn="ctr">
                  <a:solidFill>
                    <a:schemeClr val="accent4"/>
                  </a:solidFill>
                  <a:prstDash val="solid"/>
                  <a:miter lim="800000"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3574"/>
                        <a:gd name="adj2" fmla="val -53542"/>
                      </a:avLst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2-EF72-4449-B6A9-28700B816B1D}"/>
                </c:ext>
              </c:extLst>
            </c:dLbl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6350" cap="flat" cmpd="sng" algn="ctr">
                <a:solidFill>
                  <a:schemeClr val="accent4"/>
                </a:solidFill>
                <a:prstDash val="solid"/>
                <a:miter lim="800000"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'Attented calls'!$A$4:$A$9</c:f>
              <c:strCache>
                <c:ptCount val="5"/>
                <c:pt idx="0">
                  <c:v>System Operator</c:v>
                </c:pt>
                <c:pt idx="1">
                  <c:v>Tahira Qureshi</c:v>
                </c:pt>
                <c:pt idx="2">
                  <c:v>Tapas Chakraborty</c:v>
                </c:pt>
                <c:pt idx="3">
                  <c:v>Tariq Akhlaq</c:v>
                </c:pt>
                <c:pt idx="4">
                  <c:v>Tasneem Khan</c:v>
                </c:pt>
              </c:strCache>
            </c:strRef>
          </c:cat>
          <c:val>
            <c:numRef>
              <c:f>'Attented calls'!$B$4:$B$9</c:f>
              <c:numCache>
                <c:formatCode>General</c:formatCode>
                <c:ptCount val="5"/>
                <c:pt idx="0">
                  <c:v>103</c:v>
                </c:pt>
                <c:pt idx="1">
                  <c:v>104</c:v>
                </c:pt>
                <c:pt idx="2">
                  <c:v>105</c:v>
                </c:pt>
                <c:pt idx="3">
                  <c:v>106</c:v>
                </c:pt>
                <c:pt idx="4">
                  <c:v>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72-4449-B6A9-28700B816B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034320960"/>
        <c:axId val="2034321920"/>
        <c:axId val="0"/>
      </c:bar3DChart>
      <c:catAx>
        <c:axId val="20343209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34321920"/>
        <c:crosses val="autoZero"/>
        <c:auto val="1"/>
        <c:lblAlgn val="ctr"/>
        <c:lblOffset val="100"/>
        <c:noMultiLvlLbl val="0"/>
      </c:catAx>
      <c:valAx>
        <c:axId val="20343219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03432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6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Spin" dx="31" fmlaLink="$T$3" max="300" min="1" page="10" val="6"/>
</file>

<file path=xl/ctrlProps/ctrlProp2.xml><?xml version="1.0" encoding="utf-8"?>
<formControlPr xmlns="http://schemas.microsoft.com/office/spreadsheetml/2009/9/main" objectType="Spin" dx="31" fmlaLink="$T$4" max="300" min="1" page="10" val="6"/>
</file>

<file path=xl/ctrlProps/ctrlProp3.xml><?xml version="1.0" encoding="utf-8"?>
<formControlPr xmlns="http://schemas.microsoft.com/office/spreadsheetml/2009/9/main" objectType="Spin" dx="31" fmlaLink="$T$5" max="300" min="1" page="10" val="6"/>
</file>

<file path=xl/ctrlProps/ctrlProp4.xml><?xml version="1.0" encoding="utf-8"?>
<formControlPr xmlns="http://schemas.microsoft.com/office/spreadsheetml/2009/9/main" objectType="Spin" dx="31" fmlaLink="$T$2" max="300" min="1" page="1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7651</xdr:colOff>
      <xdr:row>0</xdr:row>
      <xdr:rowOff>0</xdr:rowOff>
    </xdr:from>
    <xdr:to>
      <xdr:col>18</xdr:col>
      <xdr:colOff>598201</xdr:colOff>
      <xdr:row>2</xdr:row>
      <xdr:rowOff>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AF1F04B-1B8D-4803-B84F-B949E7A13004}"/>
            </a:ext>
          </a:extLst>
        </xdr:cNvPr>
        <xdr:cNvSpPr/>
      </xdr:nvSpPr>
      <xdr:spPr>
        <a:xfrm>
          <a:off x="7651" y="0"/>
          <a:ext cx="14002056" cy="841566"/>
        </a:xfrm>
        <a:prstGeom prst="roundRect">
          <a:avLst>
            <a:gd name="adj" fmla="val 10697"/>
          </a:avLst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459036</xdr:colOff>
      <xdr:row>0</xdr:row>
      <xdr:rowOff>105502</xdr:rowOff>
    </xdr:from>
    <xdr:to>
      <xdr:col>12</xdr:col>
      <xdr:colOff>226534</xdr:colOff>
      <xdr:row>1</xdr:row>
      <xdr:rowOff>251552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342BC38-867D-4E08-9429-3736515C0166}"/>
            </a:ext>
          </a:extLst>
        </xdr:cNvPr>
        <xdr:cNvSpPr/>
      </xdr:nvSpPr>
      <xdr:spPr>
        <a:xfrm>
          <a:off x="1377108" y="105502"/>
          <a:ext cx="8588643" cy="635689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IN" sz="3200">
              <a:solidFill>
                <a:schemeClr val="accent1"/>
              </a:solidFill>
              <a:latin typeface="Bodoni MT" panose="02070603080606020203" pitchFamily="18" charset="0"/>
            </a:rPr>
            <a:t>Dash-Board</a:t>
          </a:r>
          <a:r>
            <a:rPr lang="en-IN" sz="3200">
              <a:latin typeface="Bodoni MT" panose="02070603080606020203" pitchFamily="18" charset="0"/>
            </a:rPr>
            <a:t> </a:t>
          </a:r>
          <a:r>
            <a:rPr lang="en-IN" sz="3200">
              <a:solidFill>
                <a:schemeClr val="accent1"/>
              </a:solidFill>
              <a:latin typeface="Bodoni MT" panose="02070603080606020203" pitchFamily="18" charset="0"/>
            </a:rPr>
            <a:t>For BPO</a:t>
          </a:r>
        </a:p>
      </xdr:txBody>
    </xdr:sp>
    <xdr:clientData/>
  </xdr:twoCellAnchor>
  <xdr:twoCellAnchor editAs="oneCell">
    <xdr:from>
      <xdr:col>0</xdr:col>
      <xdr:colOff>224700</xdr:colOff>
      <xdr:row>0</xdr:row>
      <xdr:rowOff>995</xdr:rowOff>
    </xdr:from>
    <xdr:to>
      <xdr:col>0</xdr:col>
      <xdr:colOff>640019</xdr:colOff>
      <xdr:row>0</xdr:row>
      <xdr:rowOff>321326</xdr:rowOff>
    </xdr:to>
    <xdr:pic macro="[0]!chart1_hide">
      <xdr:nvPicPr>
        <xdr:cNvPr id="6" name="Picture 5">
          <a:extLst>
            <a:ext uri="{FF2B5EF4-FFF2-40B4-BE49-F238E27FC236}">
              <a16:creationId xmlns:a16="http://schemas.microsoft.com/office/drawing/2014/main" id="{1FD2A9A1-EB85-45F7-B861-97D525CBD3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4700" y="995"/>
          <a:ext cx="415319" cy="320331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223397</xdr:colOff>
      <xdr:row>0</xdr:row>
      <xdr:rowOff>0</xdr:rowOff>
    </xdr:from>
    <xdr:to>
      <xdr:col>0</xdr:col>
      <xdr:colOff>639166</xdr:colOff>
      <xdr:row>0</xdr:row>
      <xdr:rowOff>340682</xdr:rowOff>
    </xdr:to>
    <xdr:pic macro="[0]!chart1_Show">
      <xdr:nvPicPr>
        <xdr:cNvPr id="7" name="Picture 6" hidden="1">
          <a:extLst>
            <a:ext uri="{FF2B5EF4-FFF2-40B4-BE49-F238E27FC236}">
              <a16:creationId xmlns:a16="http://schemas.microsoft.com/office/drawing/2014/main" id="{EA1F3F29-3BB0-48B0-B2A1-04D26B21A0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397" y="0"/>
          <a:ext cx="415769" cy="340682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0</xdr:col>
      <xdr:colOff>625322</xdr:colOff>
      <xdr:row>0</xdr:row>
      <xdr:rowOff>0</xdr:rowOff>
    </xdr:from>
    <xdr:to>
      <xdr:col>1</xdr:col>
      <xdr:colOff>283073</xdr:colOff>
      <xdr:row>1</xdr:row>
      <xdr:rowOff>267771</xdr:rowOff>
    </xdr:to>
    <xdr:sp macro="" textlink="$T$3">
      <xdr:nvSpPr>
        <xdr:cNvPr id="8" name="Rectangle 7">
          <a:extLst>
            <a:ext uri="{FF2B5EF4-FFF2-40B4-BE49-F238E27FC236}">
              <a16:creationId xmlns:a16="http://schemas.microsoft.com/office/drawing/2014/main" id="{FDF205B4-2724-0BD8-3A84-09EEB666EA7E}"/>
            </a:ext>
          </a:extLst>
        </xdr:cNvPr>
        <xdr:cNvSpPr/>
      </xdr:nvSpPr>
      <xdr:spPr>
        <a:xfrm>
          <a:off x="625322" y="0"/>
          <a:ext cx="575823" cy="757410"/>
        </a:xfrm>
        <a:prstGeom prst="rect">
          <a:avLst/>
        </a:prstGeom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r"/>
          <a:fld id="{87BD3881-E088-47B5-B53C-DB807E84EAB8}" type="TxLink">
            <a:rPr lang="en-US" sz="36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6</a:t>
          </a:fld>
          <a:endParaRPr lang="en-IN" sz="36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709308</xdr:colOff>
          <xdr:row>0</xdr:row>
          <xdr:rowOff>131618</xdr:rowOff>
        </xdr:from>
        <xdr:to>
          <xdr:col>0</xdr:col>
          <xdr:colOff>887469</xdr:colOff>
          <xdr:row>1</xdr:row>
          <xdr:rowOff>198914</xdr:rowOff>
        </xdr:to>
        <xdr:sp macro="" textlink="">
          <xdr:nvSpPr>
            <xdr:cNvPr id="4097" name="Spinner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604398</xdr:colOff>
      <xdr:row>9</xdr:row>
      <xdr:rowOff>15301</xdr:rowOff>
    </xdr:from>
    <xdr:to>
      <xdr:col>7</xdr:col>
      <xdr:colOff>306025</xdr:colOff>
      <xdr:row>22</xdr:row>
      <xdr:rowOff>61204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324DBB6-8A2F-719E-942C-3EACAE8E4B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423477</xdr:colOff>
      <xdr:row>0</xdr:row>
      <xdr:rowOff>0</xdr:rowOff>
    </xdr:from>
    <xdr:to>
      <xdr:col>13</xdr:col>
      <xdr:colOff>407891</xdr:colOff>
      <xdr:row>1</xdr:row>
      <xdr:rowOff>241300</xdr:rowOff>
    </xdr:to>
    <xdr:sp macro="" textlink="$T$4">
      <xdr:nvSpPr>
        <xdr:cNvPr id="11" name="Rectangle 10">
          <a:extLst>
            <a:ext uri="{FF2B5EF4-FFF2-40B4-BE49-F238E27FC236}">
              <a16:creationId xmlns:a16="http://schemas.microsoft.com/office/drawing/2014/main" id="{106E8BC3-5739-433B-BDA6-87743F7ACA95}"/>
            </a:ext>
          </a:extLst>
        </xdr:cNvPr>
        <xdr:cNvSpPr/>
      </xdr:nvSpPr>
      <xdr:spPr>
        <a:xfrm>
          <a:off x="10162694" y="0"/>
          <a:ext cx="596462" cy="730939"/>
        </a:xfrm>
        <a:prstGeom prst="rect">
          <a:avLst/>
        </a:prstGeom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/>
          <a:fld id="{AB5C26A2-224C-4AAF-9785-8AF79D08D7C5}" type="TxLink">
            <a:rPr lang="en-US" sz="4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6</a:t>
          </a:fld>
          <a:endParaRPr lang="en-IN" sz="4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534038</xdr:colOff>
          <xdr:row>0</xdr:row>
          <xdr:rowOff>137099</xdr:rowOff>
        </xdr:from>
        <xdr:to>
          <xdr:col>13</xdr:col>
          <xdr:colOff>64577</xdr:colOff>
          <xdr:row>1</xdr:row>
          <xdr:rowOff>133058</xdr:rowOff>
        </xdr:to>
        <xdr:sp macro="" textlink="">
          <xdr:nvSpPr>
            <xdr:cNvPr id="4100" name="Spinner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7D83902B-5492-A238-C74D-08D2468132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13</xdr:col>
      <xdr:colOff>459556</xdr:colOff>
      <xdr:row>0</xdr:row>
      <xdr:rowOff>21474</xdr:rowOff>
    </xdr:from>
    <xdr:to>
      <xdr:col>14</xdr:col>
      <xdr:colOff>298372</xdr:colOff>
      <xdr:row>0</xdr:row>
      <xdr:rowOff>361816</xdr:rowOff>
    </xdr:to>
    <xdr:pic macro="[0]!Macro17">
      <xdr:nvPicPr>
        <xdr:cNvPr id="12" name="Picture 11">
          <a:extLst>
            <a:ext uri="{FF2B5EF4-FFF2-40B4-BE49-F238E27FC236}">
              <a16:creationId xmlns:a16="http://schemas.microsoft.com/office/drawing/2014/main" id="{2DB67C68-94F5-4735-A657-9A1954A009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10821" y="21474"/>
          <a:ext cx="450865" cy="340342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474336</xdr:colOff>
      <xdr:row>0</xdr:row>
      <xdr:rowOff>9649</xdr:rowOff>
    </xdr:from>
    <xdr:to>
      <xdr:col>14</xdr:col>
      <xdr:colOff>237168</xdr:colOff>
      <xdr:row>0</xdr:row>
      <xdr:rowOff>388160</xdr:rowOff>
    </xdr:to>
    <xdr:pic macro="[0]!Macro16">
      <xdr:nvPicPr>
        <xdr:cNvPr id="13" name="Picture 12" hidden="1">
          <a:extLst>
            <a:ext uri="{FF2B5EF4-FFF2-40B4-BE49-F238E27FC236}">
              <a16:creationId xmlns:a16="http://schemas.microsoft.com/office/drawing/2014/main" id="{13461212-1EFA-460B-908C-6D8F311E3B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25601" y="9649"/>
          <a:ext cx="374881" cy="378511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7</xdr:col>
      <xdr:colOff>353457</xdr:colOff>
      <xdr:row>9</xdr:row>
      <xdr:rowOff>15301</xdr:rowOff>
    </xdr:from>
    <xdr:to>
      <xdr:col>12</xdr:col>
      <xdr:colOff>328976</xdr:colOff>
      <xdr:row>22</xdr:row>
      <xdr:rowOff>53555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F8159BD1-EE50-F230-E0D5-2369771366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374878</xdr:colOff>
      <xdr:row>0</xdr:row>
      <xdr:rowOff>107109</xdr:rowOff>
    </xdr:from>
    <xdr:to>
      <xdr:col>15</xdr:col>
      <xdr:colOff>306024</xdr:colOff>
      <xdr:row>1</xdr:row>
      <xdr:rowOff>275421</xdr:rowOff>
    </xdr:to>
    <xdr:sp macro="" textlink="$T$5">
      <xdr:nvSpPr>
        <xdr:cNvPr id="15" name="Rectangle 14">
          <a:extLst>
            <a:ext uri="{FF2B5EF4-FFF2-40B4-BE49-F238E27FC236}">
              <a16:creationId xmlns:a16="http://schemas.microsoft.com/office/drawing/2014/main" id="{98B59DF3-540D-976C-3342-F7B1045CC984}"/>
            </a:ext>
          </a:extLst>
        </xdr:cNvPr>
        <xdr:cNvSpPr/>
      </xdr:nvSpPr>
      <xdr:spPr>
        <a:xfrm>
          <a:off x="12485782" y="107109"/>
          <a:ext cx="543194" cy="657951"/>
        </a:xfrm>
        <a:prstGeom prst="rect">
          <a:avLst/>
        </a:prstGeom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r"/>
          <a:fld id="{B6D8668E-459B-48FB-AD36-85586666C7C2}" type="TxLink">
            <a:rPr lang="en-US" sz="4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6</a:t>
          </a:fld>
          <a:endParaRPr lang="en-IN" sz="4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434247</xdr:colOff>
          <xdr:row>0</xdr:row>
          <xdr:rowOff>191112</xdr:rowOff>
        </xdr:from>
        <xdr:to>
          <xdr:col>14</xdr:col>
          <xdr:colOff>573947</xdr:colOff>
          <xdr:row>1</xdr:row>
          <xdr:rowOff>183002</xdr:rowOff>
        </xdr:to>
        <xdr:sp macro="" textlink="">
          <xdr:nvSpPr>
            <xdr:cNvPr id="4102" name="Spinner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8A47740B-F78F-26CE-993F-9E57218E09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15</xdr:col>
      <xdr:colOff>344277</xdr:colOff>
      <xdr:row>0</xdr:row>
      <xdr:rowOff>7651</xdr:rowOff>
    </xdr:from>
    <xdr:to>
      <xdr:col>16</xdr:col>
      <xdr:colOff>183094</xdr:colOff>
      <xdr:row>0</xdr:row>
      <xdr:rowOff>347993</xdr:rowOff>
    </xdr:to>
    <xdr:pic macro="[0]!Macro20">
      <xdr:nvPicPr>
        <xdr:cNvPr id="16" name="Picture 15">
          <a:extLst>
            <a:ext uri="{FF2B5EF4-FFF2-40B4-BE49-F238E27FC236}">
              <a16:creationId xmlns:a16="http://schemas.microsoft.com/office/drawing/2014/main" id="{35018F1C-0ED0-4663-A072-BB49C6A0BB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67229" y="7651"/>
          <a:ext cx="450865" cy="340342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344277</xdr:colOff>
      <xdr:row>0</xdr:row>
      <xdr:rowOff>38253</xdr:rowOff>
    </xdr:from>
    <xdr:to>
      <xdr:col>16</xdr:col>
      <xdr:colOff>107110</xdr:colOff>
      <xdr:row>0</xdr:row>
      <xdr:rowOff>416764</xdr:rowOff>
    </xdr:to>
    <xdr:pic macro="[0]!Macro19">
      <xdr:nvPicPr>
        <xdr:cNvPr id="17" name="Picture 16" hidden="1">
          <a:extLst>
            <a:ext uri="{FF2B5EF4-FFF2-40B4-BE49-F238E27FC236}">
              <a16:creationId xmlns:a16="http://schemas.microsoft.com/office/drawing/2014/main" id="{1A9AA74B-AD6D-48F6-B730-E8A29DDC7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67229" y="38253"/>
          <a:ext cx="374881" cy="378511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0</xdr:col>
      <xdr:colOff>15302</xdr:colOff>
      <xdr:row>9</xdr:row>
      <xdr:rowOff>15302</xdr:rowOff>
    </xdr:from>
    <xdr:to>
      <xdr:col>3</xdr:col>
      <xdr:colOff>566146</xdr:colOff>
      <xdr:row>22</xdr:row>
      <xdr:rowOff>61205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497E2AAB-7476-4F04-AD91-CBE8C991BC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0</xdr:row>
      <xdr:rowOff>146050</xdr:rowOff>
    </xdr:from>
    <xdr:to>
      <xdr:col>9</xdr:col>
      <xdr:colOff>222250</xdr:colOff>
      <xdr:row>13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38CA6D9-7349-91A5-9B21-3F36029FBF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374650</xdr:colOff>
      <xdr:row>1</xdr:row>
      <xdr:rowOff>120650</xdr:rowOff>
    </xdr:from>
    <xdr:to>
      <xdr:col>8</xdr:col>
      <xdr:colOff>438150</xdr:colOff>
      <xdr:row>12</xdr:row>
      <xdr:rowOff>82550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5696B9-2967-5905-F436-F1D52EC14D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31750</xdr:colOff>
      <xdr:row>1</xdr:row>
      <xdr:rowOff>152400</xdr:rowOff>
    </xdr:from>
    <xdr:to>
      <xdr:col>8</xdr:col>
      <xdr:colOff>514350</xdr:colOff>
      <xdr:row>13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7EA18D-0438-FDAB-8C74-5C744947ED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31750</xdr:colOff>
      <xdr:row>0</xdr:row>
      <xdr:rowOff>25400</xdr:rowOff>
    </xdr:from>
    <xdr:to>
      <xdr:col>19</xdr:col>
      <xdr:colOff>19050</xdr:colOff>
      <xdr:row>3</xdr:row>
      <xdr:rowOff>158750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0F43C5F-389E-49E3-8D55-5D76AAB98FC7}"/>
            </a:ext>
          </a:extLst>
        </xdr:cNvPr>
        <xdr:cNvSpPr/>
      </xdr:nvSpPr>
      <xdr:spPr>
        <a:xfrm>
          <a:off x="31750" y="25400"/>
          <a:ext cx="14681200" cy="685800"/>
        </a:xfrm>
        <a:prstGeom prst="roundRect">
          <a:avLst>
            <a:gd name="adj" fmla="val 10697"/>
          </a:avLst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1282700</xdr:colOff>
      <xdr:row>0</xdr:row>
      <xdr:rowOff>95250</xdr:rowOff>
    </xdr:from>
    <xdr:to>
      <xdr:col>12</xdr:col>
      <xdr:colOff>25400</xdr:colOff>
      <xdr:row>3</xdr:row>
      <xdr:rowOff>88900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92457EB-FD2F-BF3B-6429-C435341C52AF}"/>
            </a:ext>
          </a:extLst>
        </xdr:cNvPr>
        <xdr:cNvSpPr/>
      </xdr:nvSpPr>
      <xdr:spPr>
        <a:xfrm>
          <a:off x="2203450" y="95250"/>
          <a:ext cx="8248650" cy="5461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IN" sz="2400">
              <a:solidFill>
                <a:schemeClr val="accent1"/>
              </a:solidFill>
              <a:latin typeface="Bodoni MT" panose="02070603080606020203" pitchFamily="18" charset="0"/>
            </a:rPr>
            <a:t>Dash-Board</a:t>
          </a:r>
          <a:r>
            <a:rPr lang="en-IN" sz="2400">
              <a:latin typeface="Bodoni MT" panose="02070603080606020203" pitchFamily="18" charset="0"/>
            </a:rPr>
            <a:t> </a:t>
          </a:r>
          <a:r>
            <a:rPr lang="en-IN" sz="2400">
              <a:solidFill>
                <a:schemeClr val="accent1"/>
              </a:solidFill>
              <a:latin typeface="Bodoni MT" panose="02070603080606020203" pitchFamily="18" charset="0"/>
            </a:rPr>
            <a:t>For BPO</a:t>
          </a:r>
        </a:p>
      </xdr:txBody>
    </xdr:sp>
    <xdr:clientData/>
  </xdr:twoCellAnchor>
  <xdr:twoCellAnchor editAs="oneCell">
    <xdr:from>
      <xdr:col>0</xdr:col>
      <xdr:colOff>770934</xdr:colOff>
      <xdr:row>0</xdr:row>
      <xdr:rowOff>95251</xdr:rowOff>
    </xdr:from>
    <xdr:to>
      <xdr:col>1</xdr:col>
      <xdr:colOff>488949</xdr:colOff>
      <xdr:row>3</xdr:row>
      <xdr:rowOff>63500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CAB5ABA-8A48-A8C6-AC4F-F65E5E461E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0934" y="95251"/>
          <a:ext cx="638765" cy="52069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0</xdr:col>
      <xdr:colOff>50800</xdr:colOff>
      <xdr:row>0</xdr:row>
      <xdr:rowOff>81180</xdr:rowOff>
    </xdr:from>
    <xdr:to>
      <xdr:col>0</xdr:col>
      <xdr:colOff>756078</xdr:colOff>
      <xdr:row>3</xdr:row>
      <xdr:rowOff>69849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B260D49-1464-77C4-2667-F2700D2038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800" y="81180"/>
          <a:ext cx="705278" cy="541119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476250</xdr:colOff>
      <xdr:row>0</xdr:row>
      <xdr:rowOff>50800</xdr:rowOff>
    </xdr:from>
    <xdr:to>
      <xdr:col>1</xdr:col>
      <xdr:colOff>1143000</xdr:colOff>
      <xdr:row>3</xdr:row>
      <xdr:rowOff>76200</xdr:rowOff>
    </xdr:to>
    <xdr:sp macro="" textlink="$T$2">
      <xdr:nvSpPr>
        <xdr:cNvPr id="14" name="Rectangle 13">
          <a:extLst>
            <a:ext uri="{FF2B5EF4-FFF2-40B4-BE49-F238E27FC236}">
              <a16:creationId xmlns:a16="http://schemas.microsoft.com/office/drawing/2014/main" id="{65A7FE64-37A5-E047-46C4-07CA1718C592}"/>
            </a:ext>
          </a:extLst>
        </xdr:cNvPr>
        <xdr:cNvSpPr/>
      </xdr:nvSpPr>
      <xdr:spPr>
        <a:xfrm>
          <a:off x="1397000" y="50800"/>
          <a:ext cx="666750" cy="5778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fld id="{224C0FAB-44F5-4E1D-B90F-0C2D63FB8515}" type="TxLink">
            <a:rPr lang="en-US" sz="4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1</a:t>
          </a:fld>
          <a:endParaRPr lang="en-IN" sz="4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603250</xdr:colOff>
          <xdr:row>0</xdr:row>
          <xdr:rowOff>101600</xdr:rowOff>
        </xdr:from>
        <xdr:to>
          <xdr:col>1</xdr:col>
          <xdr:colOff>742950</xdr:colOff>
          <xdr:row>3</xdr:row>
          <xdr:rowOff>12700</xdr:rowOff>
        </xdr:to>
        <xdr:sp macro="" textlink="">
          <xdr:nvSpPr>
            <xdr:cNvPr id="8197" name="Spinner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B051B746-268E-BF60-C2AE-5995C22B90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a161d33f8aa149d6/Desktop/dashboad%20by%20subhash.xlsm" TargetMode="External"/><Relationship Id="rId1" Type="http://schemas.openxmlformats.org/officeDocument/2006/relationships/externalLinkPath" Target="dashboad%20by%20subhash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reak"/>
      <sheetName val="Efficiency"/>
      <sheetName val="OverAll Performance"/>
      <sheetName val="Summary"/>
      <sheetName val="Dashboard"/>
      <sheetName val="Sheet4"/>
      <sheetName val="Sheet7"/>
      <sheetName val="Sheet8"/>
      <sheetName val="Sheet9"/>
      <sheetName val="Sheet10"/>
      <sheetName val="Pulled_Data"/>
      <sheetName val="DashBoard1"/>
    </sheetNames>
    <sheetDataSet>
      <sheetData sheetId="0">
        <row r="1">
          <cell r="A1" t="str">
            <v>Employee</v>
          </cell>
          <cell r="B1" t="str">
            <v>Lunch</v>
          </cell>
          <cell r="C1" t="str">
            <v>Normal Break</v>
          </cell>
          <cell r="D1" t="str">
            <v>Feedback</v>
          </cell>
          <cell r="E1" t="str">
            <v>Training</v>
          </cell>
          <cell r="F1" t="str">
            <v>Meeting</v>
          </cell>
          <cell r="G1" t="str">
            <v>Unwanted Break</v>
          </cell>
          <cell r="H1" t="str">
            <v>Other Work</v>
          </cell>
          <cell r="I1" t="str">
            <v>Total Break Taken</v>
          </cell>
        </row>
        <row r="2">
          <cell r="A2" t="str">
            <v>Mum_Abdul Hamid (1008512)</v>
          </cell>
          <cell r="B2" t="str">
            <v>00:36:49</v>
          </cell>
          <cell r="C2" t="str">
            <v>00:30:24</v>
          </cell>
          <cell r="D2" t="str">
            <v>00:00:00</v>
          </cell>
          <cell r="E2" t="str">
            <v>00:00:00</v>
          </cell>
          <cell r="F2" t="str">
            <v>00:00:00</v>
          </cell>
          <cell r="G2" t="str">
            <v>00:00:00</v>
          </cell>
          <cell r="H2" t="str">
            <v>00:00:00</v>
          </cell>
          <cell r="I2" t="str">
            <v>01:08:42</v>
          </cell>
        </row>
        <row r="3">
          <cell r="A3" t="str">
            <v>Mum_Afzal Husain (1008513)</v>
          </cell>
          <cell r="B3" t="str">
            <v>00:39:56</v>
          </cell>
          <cell r="C3" t="str">
            <v>00:29:55</v>
          </cell>
          <cell r="D3" t="str">
            <v>00:00:00</v>
          </cell>
          <cell r="E3" t="str">
            <v>00:00:00</v>
          </cell>
          <cell r="F3" t="str">
            <v>00:00:00</v>
          </cell>
          <cell r="G3" t="str">
            <v>00:00:00</v>
          </cell>
          <cell r="H3" t="str">
            <v>00:00:00</v>
          </cell>
          <cell r="I3" t="str">
            <v>01:09:59</v>
          </cell>
        </row>
        <row r="4">
          <cell r="A4" t="str">
            <v>Mum_Anamika Gupta (1008514)</v>
          </cell>
          <cell r="B4" t="str">
            <v>00:39:49</v>
          </cell>
          <cell r="C4" t="str">
            <v>00:29:49</v>
          </cell>
          <cell r="D4" t="str">
            <v>00:00:00</v>
          </cell>
          <cell r="E4" t="str">
            <v>00:00:00</v>
          </cell>
          <cell r="F4" t="str">
            <v>00:00:00</v>
          </cell>
          <cell r="G4" t="str">
            <v>00:04:09</v>
          </cell>
          <cell r="H4" t="str">
            <v>00:00:00</v>
          </cell>
          <cell r="I4" t="str">
            <v>01:13:54</v>
          </cell>
        </row>
        <row r="5">
          <cell r="A5" t="str">
            <v>Mum_Anikuttan (1008515)</v>
          </cell>
          <cell r="B5" t="str">
            <v>00:39:17</v>
          </cell>
          <cell r="C5" t="str">
            <v>00:22:20</v>
          </cell>
          <cell r="D5" t="str">
            <v>01:10:58</v>
          </cell>
          <cell r="E5" t="str">
            <v>00:00:00</v>
          </cell>
          <cell r="F5" t="str">
            <v>00:00:00</v>
          </cell>
          <cell r="G5" t="str">
            <v>00:00:00</v>
          </cell>
          <cell r="H5" t="str">
            <v>00:00:00</v>
          </cell>
          <cell r="I5" t="str">
            <v>02:19:02</v>
          </cell>
        </row>
        <row r="6">
          <cell r="A6" t="str">
            <v>Mum_Anil Kumar (1008516)</v>
          </cell>
          <cell r="B6" t="str">
            <v>00:00:00</v>
          </cell>
          <cell r="C6" t="str">
            <v>00:29:44</v>
          </cell>
          <cell r="D6" t="str">
            <v>00:00:00</v>
          </cell>
          <cell r="E6" t="str">
            <v>00:00:00</v>
          </cell>
          <cell r="F6" t="str">
            <v>00:29:31</v>
          </cell>
          <cell r="G6" t="str">
            <v>00:00:00</v>
          </cell>
          <cell r="H6" t="str">
            <v>02:05:20</v>
          </cell>
          <cell r="I6" t="str">
            <v>03:04:58</v>
          </cell>
        </row>
        <row r="7">
          <cell r="A7" t="str">
            <v>Mum_Anita Dixit (1008517)</v>
          </cell>
          <cell r="B7" t="str">
            <v>00:00:00</v>
          </cell>
          <cell r="C7" t="str">
            <v>00:14:56</v>
          </cell>
          <cell r="D7" t="str">
            <v>00:00:00</v>
          </cell>
          <cell r="E7" t="str">
            <v>00:00:00</v>
          </cell>
          <cell r="F7" t="str">
            <v>00:00:00</v>
          </cell>
          <cell r="G7" t="str">
            <v>00:10:12</v>
          </cell>
          <cell r="H7" t="str">
            <v>00:00:00</v>
          </cell>
          <cell r="I7" t="str">
            <v>00:27:07</v>
          </cell>
        </row>
        <row r="8">
          <cell r="A8" t="str">
            <v>Mum_Anita Ghore (1008518)</v>
          </cell>
          <cell r="B8" t="str">
            <v>00:39:59</v>
          </cell>
          <cell r="C8" t="str">
            <v>00:29:58</v>
          </cell>
          <cell r="D8" t="str">
            <v>00:00:00</v>
          </cell>
          <cell r="E8" t="str">
            <v>00:00:00</v>
          </cell>
          <cell r="F8" t="str">
            <v>00:00:00</v>
          </cell>
          <cell r="G8" t="str">
            <v>00:00:00</v>
          </cell>
          <cell r="H8" t="str">
            <v>01:31:35</v>
          </cell>
          <cell r="I8" t="str">
            <v>02:41:42</v>
          </cell>
        </row>
        <row r="9">
          <cell r="A9" t="str">
            <v>Mum_Anjali Deoram (1008519)</v>
          </cell>
          <cell r="B9" t="str">
            <v>00:40:23</v>
          </cell>
          <cell r="C9" t="str">
            <v>00:29:26</v>
          </cell>
          <cell r="D9" t="str">
            <v>00:00:00</v>
          </cell>
          <cell r="E9" t="str">
            <v>00:00:00</v>
          </cell>
          <cell r="F9" t="str">
            <v>00:00:00</v>
          </cell>
          <cell r="G9" t="str">
            <v>00:00:00</v>
          </cell>
          <cell r="H9" t="str">
            <v>00:00:00</v>
          </cell>
          <cell r="I9" t="str">
            <v>01:13:10</v>
          </cell>
        </row>
        <row r="10">
          <cell r="A10" t="str">
            <v>Mum_Anjali Sahay (1008520)</v>
          </cell>
          <cell r="B10" t="str">
            <v>00:39:55</v>
          </cell>
          <cell r="C10" t="str">
            <v>00:24:49</v>
          </cell>
          <cell r="D10" t="str">
            <v>00:00:00</v>
          </cell>
          <cell r="E10" t="str">
            <v>00:00:00</v>
          </cell>
          <cell r="F10" t="str">
            <v>00:00:00</v>
          </cell>
          <cell r="G10" t="str">
            <v>00:00:00</v>
          </cell>
          <cell r="H10" t="str">
            <v>00:00:00</v>
          </cell>
          <cell r="I10" t="str">
            <v>01:06:39</v>
          </cell>
        </row>
        <row r="11">
          <cell r="A11" t="str">
            <v>Mum_Annu Latika (1008521)</v>
          </cell>
          <cell r="B11" t="str">
            <v>00:39:51</v>
          </cell>
          <cell r="C11" t="str">
            <v>00:29:59</v>
          </cell>
          <cell r="D11" t="str">
            <v>00:00:00</v>
          </cell>
          <cell r="E11" t="str">
            <v>00:00:00</v>
          </cell>
          <cell r="F11" t="str">
            <v>00:00:00</v>
          </cell>
          <cell r="G11" t="str">
            <v>00:00:00</v>
          </cell>
          <cell r="H11" t="str">
            <v>00:00:00</v>
          </cell>
          <cell r="I11" t="str">
            <v>01:09:57</v>
          </cell>
        </row>
        <row r="12">
          <cell r="A12" t="str">
            <v>Mum_Anoop Narayan (1008522)</v>
          </cell>
          <cell r="B12" t="str">
            <v>00:39:41</v>
          </cell>
          <cell r="C12" t="str">
            <v>00:29:25</v>
          </cell>
          <cell r="D12" t="str">
            <v>00:00:00</v>
          </cell>
          <cell r="E12" t="str">
            <v>00:00:00</v>
          </cell>
          <cell r="F12" t="str">
            <v>00:00:00</v>
          </cell>
          <cell r="G12" t="str">
            <v>00:00:00</v>
          </cell>
          <cell r="H12" t="str">
            <v>00:00:00</v>
          </cell>
          <cell r="I12" t="str">
            <v>01:09:15</v>
          </cell>
        </row>
        <row r="13">
          <cell r="A13" t="str">
            <v>Mum_Anoop Raj (1008523)</v>
          </cell>
          <cell r="B13" t="str">
            <v>00:39:05</v>
          </cell>
          <cell r="C13" t="str">
            <v>00:29:59</v>
          </cell>
          <cell r="D13" t="str">
            <v>00:00:00</v>
          </cell>
          <cell r="E13" t="str">
            <v>01:05:04</v>
          </cell>
          <cell r="F13" t="str">
            <v>00:30:24</v>
          </cell>
          <cell r="G13" t="str">
            <v>00:12:32</v>
          </cell>
          <cell r="H13" t="str">
            <v>00:00:00</v>
          </cell>
          <cell r="I13" t="str">
            <v>03:01:18</v>
          </cell>
        </row>
        <row r="14">
          <cell r="A14" t="str">
            <v>Mum_Anubhuti Gupta (1008524)</v>
          </cell>
          <cell r="B14" t="str">
            <v>00:39:06</v>
          </cell>
          <cell r="C14" t="str">
            <v>00:25:25</v>
          </cell>
          <cell r="D14" t="str">
            <v>00:00:00</v>
          </cell>
          <cell r="E14" t="str">
            <v>01:01:32</v>
          </cell>
          <cell r="F14" t="str">
            <v>00:00:00</v>
          </cell>
          <cell r="G14" t="str">
            <v>00:00:00</v>
          </cell>
          <cell r="H14" t="str">
            <v>00:00:00</v>
          </cell>
          <cell r="I14" t="str">
            <v>02:06:41</v>
          </cell>
        </row>
        <row r="15">
          <cell r="A15" t="str">
            <v>Mum_Arun Kumar (1008525)</v>
          </cell>
          <cell r="B15" t="str">
            <v>00:43:00</v>
          </cell>
          <cell r="C15" t="str">
            <v>00:27:13</v>
          </cell>
          <cell r="D15" t="str">
            <v>00:00:00</v>
          </cell>
          <cell r="E15" t="str">
            <v>00:00:00</v>
          </cell>
          <cell r="F15" t="str">
            <v>00:00:00</v>
          </cell>
          <cell r="G15" t="str">
            <v>00:00:00</v>
          </cell>
          <cell r="H15" t="str">
            <v>00:00:00</v>
          </cell>
          <cell r="I15" t="str">
            <v>01:10:34</v>
          </cell>
        </row>
        <row r="16">
          <cell r="A16" t="str">
            <v>Mum_Ashish Kumar (1008526)</v>
          </cell>
          <cell r="B16" t="str">
            <v>00:37:37</v>
          </cell>
          <cell r="C16" t="str">
            <v>00:29:49</v>
          </cell>
          <cell r="D16" t="str">
            <v>00:00:00</v>
          </cell>
          <cell r="E16" t="str">
            <v>00:00:00</v>
          </cell>
          <cell r="F16" t="str">
            <v>00:00:00</v>
          </cell>
          <cell r="G16" t="str">
            <v>00:08:43</v>
          </cell>
          <cell r="H16" t="str">
            <v>00:00:00</v>
          </cell>
          <cell r="I16" t="str">
            <v>01:16:59</v>
          </cell>
        </row>
        <row r="17">
          <cell r="A17" t="str">
            <v>Mum_Ashok Kumar (1008527)</v>
          </cell>
          <cell r="B17" t="str">
            <v>00:42:06</v>
          </cell>
          <cell r="C17" t="str">
            <v>00:15:56</v>
          </cell>
          <cell r="D17" t="str">
            <v>01:25:31</v>
          </cell>
          <cell r="E17" t="str">
            <v>00:00:00</v>
          </cell>
          <cell r="F17" t="str">
            <v>00:00:00</v>
          </cell>
          <cell r="G17" t="str">
            <v>00:00:00</v>
          </cell>
          <cell r="H17" t="str">
            <v>00:00:00</v>
          </cell>
          <cell r="I17" t="str">
            <v>02:24:20</v>
          </cell>
        </row>
        <row r="18">
          <cell r="A18" t="str">
            <v>Hyd_Ashok Kumar (1008528)</v>
          </cell>
          <cell r="B18" t="str">
            <v>00:39:10</v>
          </cell>
          <cell r="C18" t="str">
            <v>00:13:03</v>
          </cell>
          <cell r="D18" t="str">
            <v>00:00:00</v>
          </cell>
          <cell r="E18" t="str">
            <v>00:00:00</v>
          </cell>
          <cell r="F18" t="str">
            <v>00:00:00</v>
          </cell>
          <cell r="G18" t="str">
            <v>00:00:00</v>
          </cell>
          <cell r="H18" t="str">
            <v>00:00:00</v>
          </cell>
          <cell r="I18" t="str">
            <v>00:56:29</v>
          </cell>
        </row>
        <row r="19">
          <cell r="A19" t="str">
            <v>Hyd_Ashok Kumar (1008529)</v>
          </cell>
          <cell r="B19" t="str">
            <v>00:39:57</v>
          </cell>
          <cell r="C19" t="str">
            <v>00:29:58</v>
          </cell>
          <cell r="D19" t="str">
            <v>00:00:00</v>
          </cell>
          <cell r="E19" t="str">
            <v>00:00:00</v>
          </cell>
          <cell r="F19" t="str">
            <v>00:00:00</v>
          </cell>
          <cell r="G19" t="str">
            <v>00:00:00</v>
          </cell>
          <cell r="H19" t="str">
            <v>00:00:00</v>
          </cell>
          <cell r="I19" t="str">
            <v>01:10:07</v>
          </cell>
        </row>
        <row r="20">
          <cell r="A20" t="str">
            <v>Hyd_Ashok Kumar (1008530)</v>
          </cell>
          <cell r="B20" t="str">
            <v>00:39:11</v>
          </cell>
          <cell r="C20" t="str">
            <v>00:27:21</v>
          </cell>
          <cell r="D20" t="str">
            <v>00:00:00</v>
          </cell>
          <cell r="E20" t="str">
            <v>00:59:58</v>
          </cell>
          <cell r="F20" t="str">
            <v>00:31:07</v>
          </cell>
          <cell r="G20" t="str">
            <v>00:00:00</v>
          </cell>
          <cell r="H20" t="str">
            <v>00:00:00</v>
          </cell>
          <cell r="I20" t="str">
            <v>02:40:10</v>
          </cell>
        </row>
        <row r="21">
          <cell r="A21" t="str">
            <v>Hyd_Ashok Mahto (1008531)</v>
          </cell>
          <cell r="B21" t="str">
            <v>00:40:20</v>
          </cell>
          <cell r="C21" t="str">
            <v>00:30:39</v>
          </cell>
          <cell r="D21" t="str">
            <v>00:00:00</v>
          </cell>
          <cell r="E21" t="str">
            <v>00:00:00</v>
          </cell>
          <cell r="F21" t="str">
            <v>00:00:00</v>
          </cell>
          <cell r="G21" t="str">
            <v>00:01:30</v>
          </cell>
          <cell r="H21" t="str">
            <v>00:00:00</v>
          </cell>
          <cell r="I21" t="str">
            <v>01:14:30</v>
          </cell>
        </row>
        <row r="22">
          <cell r="A22" t="str">
            <v>Hyd_Atul Kumar (1008532)</v>
          </cell>
          <cell r="B22" t="str">
            <v>00:39:29</v>
          </cell>
          <cell r="C22" t="str">
            <v>00:27:03</v>
          </cell>
          <cell r="D22" t="str">
            <v>00:00:00</v>
          </cell>
          <cell r="E22" t="str">
            <v>00:00:00</v>
          </cell>
          <cell r="F22" t="str">
            <v>00:00:00</v>
          </cell>
          <cell r="G22" t="str">
            <v>00:00:00</v>
          </cell>
          <cell r="H22" t="str">
            <v>00:00:00</v>
          </cell>
          <cell r="I22" t="str">
            <v>01:06:59</v>
          </cell>
        </row>
        <row r="23">
          <cell r="A23" t="str">
            <v>Hyd_Azam (1008533)</v>
          </cell>
          <cell r="B23" t="str">
            <v>00:39:37</v>
          </cell>
          <cell r="C23" t="str">
            <v>00:29:04</v>
          </cell>
          <cell r="D23" t="str">
            <v>00:00:00</v>
          </cell>
          <cell r="E23" t="str">
            <v>00:00:00</v>
          </cell>
          <cell r="F23" t="str">
            <v>00:00:00</v>
          </cell>
          <cell r="G23" t="str">
            <v>00:00:00</v>
          </cell>
          <cell r="H23" t="str">
            <v>00:00:00</v>
          </cell>
          <cell r="I23" t="str">
            <v>01:09:47</v>
          </cell>
        </row>
        <row r="24">
          <cell r="A24" t="str">
            <v>Hyd_Bhagwat Singh (1008534)</v>
          </cell>
          <cell r="B24" t="str">
            <v>00:40:00</v>
          </cell>
          <cell r="C24" t="str">
            <v>00:30:03</v>
          </cell>
          <cell r="D24" t="str">
            <v>00:59:16</v>
          </cell>
          <cell r="E24" t="str">
            <v>00:00:00</v>
          </cell>
          <cell r="F24" t="str">
            <v>00:00:00</v>
          </cell>
          <cell r="G24" t="str">
            <v>00:00:00</v>
          </cell>
          <cell r="H24" t="str">
            <v>00:00:00</v>
          </cell>
          <cell r="I24" t="str">
            <v>02:10:18</v>
          </cell>
        </row>
        <row r="25">
          <cell r="A25" t="str">
            <v>Hyd_Bindu Nair (1008535)</v>
          </cell>
          <cell r="B25" t="str">
            <v>00:39:50</v>
          </cell>
          <cell r="C25" t="str">
            <v>00:30:09</v>
          </cell>
          <cell r="D25" t="str">
            <v>00:00:00</v>
          </cell>
          <cell r="E25" t="str">
            <v>01:01:05</v>
          </cell>
          <cell r="F25" t="str">
            <v>00:00:00</v>
          </cell>
          <cell r="G25" t="str">
            <v>00:00:00</v>
          </cell>
          <cell r="H25" t="str">
            <v>00:00:00</v>
          </cell>
          <cell r="I25" t="str">
            <v>02:11:17</v>
          </cell>
        </row>
        <row r="26">
          <cell r="A26" t="str">
            <v>Hyd_Daleep Singh (1008536)</v>
          </cell>
          <cell r="B26" t="str">
            <v>00:39:28</v>
          </cell>
          <cell r="C26" t="str">
            <v>00:26:22</v>
          </cell>
          <cell r="D26" t="str">
            <v>00:00:00</v>
          </cell>
          <cell r="E26" t="str">
            <v>00:00:00</v>
          </cell>
          <cell r="F26" t="str">
            <v>00:00:00</v>
          </cell>
          <cell r="G26" t="str">
            <v>00:00:00</v>
          </cell>
          <cell r="H26" t="str">
            <v>00:00:00</v>
          </cell>
          <cell r="I26" t="str">
            <v>01:12:54</v>
          </cell>
        </row>
        <row r="27">
          <cell r="A27" t="str">
            <v>Hyd_Deepak Kumar (1008537)</v>
          </cell>
          <cell r="B27" t="str">
            <v>00:00:00</v>
          </cell>
          <cell r="C27" t="str">
            <v>00:28:49</v>
          </cell>
          <cell r="D27" t="str">
            <v>00:00:00</v>
          </cell>
          <cell r="E27" t="str">
            <v>00:00:00</v>
          </cell>
          <cell r="F27" t="str">
            <v>00:00:00</v>
          </cell>
          <cell r="G27" t="str">
            <v>00:00:00</v>
          </cell>
          <cell r="H27" t="str">
            <v>00:00:00</v>
          </cell>
          <cell r="I27" t="str">
            <v>00:30:30</v>
          </cell>
        </row>
        <row r="28">
          <cell r="A28" t="str">
            <v>Hyd_Deepika Nigam (1008538)</v>
          </cell>
          <cell r="B28" t="str">
            <v>00:39:54</v>
          </cell>
          <cell r="C28" t="str">
            <v>00:29:57</v>
          </cell>
          <cell r="D28" t="str">
            <v>00:00:00</v>
          </cell>
          <cell r="E28" t="str">
            <v>00:00:00</v>
          </cell>
          <cell r="F28" t="str">
            <v>00:00:00</v>
          </cell>
          <cell r="G28" t="str">
            <v>00:00:00</v>
          </cell>
          <cell r="H28" t="str">
            <v>00:00:00</v>
          </cell>
          <cell r="I28" t="str">
            <v>01:11:40</v>
          </cell>
        </row>
        <row r="29">
          <cell r="A29" t="str">
            <v>Hyd_Dinesh Kumar (1008539)</v>
          </cell>
          <cell r="B29" t="str">
            <v>00:40:10</v>
          </cell>
          <cell r="C29" t="str">
            <v>00:29:29</v>
          </cell>
          <cell r="D29" t="str">
            <v>00:00:00</v>
          </cell>
          <cell r="E29" t="str">
            <v>00:00:00</v>
          </cell>
          <cell r="F29" t="str">
            <v>00:00:00</v>
          </cell>
          <cell r="G29" t="str">
            <v>00:00:00</v>
          </cell>
          <cell r="H29" t="str">
            <v>00:00:00</v>
          </cell>
          <cell r="I29" t="str">
            <v>01:10:03</v>
          </cell>
        </row>
        <row r="30">
          <cell r="A30" t="str">
            <v>Hyd_Hari Kumar (1008540)</v>
          </cell>
          <cell r="B30" t="str">
            <v>00:40:56</v>
          </cell>
          <cell r="C30" t="str">
            <v>00:31:30</v>
          </cell>
          <cell r="D30" t="str">
            <v>00:00:00</v>
          </cell>
          <cell r="E30" t="str">
            <v>00:59:59</v>
          </cell>
          <cell r="F30" t="str">
            <v>00:31:59</v>
          </cell>
          <cell r="G30" t="str">
            <v>00:00:00</v>
          </cell>
          <cell r="H30" t="str">
            <v>00:00:00</v>
          </cell>
          <cell r="I30" t="str">
            <v>02:44:52</v>
          </cell>
        </row>
        <row r="31">
          <cell r="A31" t="str">
            <v>Hyd_Heeramani Choudhary (1008541)</v>
          </cell>
          <cell r="B31" t="str">
            <v>00:00:00</v>
          </cell>
          <cell r="C31" t="str">
            <v>00:30:00</v>
          </cell>
          <cell r="D31" t="str">
            <v>00:00:00</v>
          </cell>
          <cell r="E31" t="str">
            <v>00:00:00</v>
          </cell>
          <cell r="F31" t="str">
            <v>00:25:55</v>
          </cell>
          <cell r="G31" t="str">
            <v>00:08:29</v>
          </cell>
          <cell r="H31" t="str">
            <v>00:00:00</v>
          </cell>
          <cell r="I31" t="str">
            <v>01:20:20</v>
          </cell>
        </row>
        <row r="32">
          <cell r="A32" t="str">
            <v>Hyd_Indra Pal (1008542)</v>
          </cell>
          <cell r="B32" t="str">
            <v>00:39:50</v>
          </cell>
          <cell r="C32" t="str">
            <v>00:29:16</v>
          </cell>
          <cell r="D32" t="str">
            <v>00:00:00</v>
          </cell>
          <cell r="E32" t="str">
            <v>00:00:00</v>
          </cell>
          <cell r="F32" t="str">
            <v>00:00:00</v>
          </cell>
          <cell r="G32" t="str">
            <v>00:00:00</v>
          </cell>
          <cell r="H32" t="str">
            <v>00:00:00</v>
          </cell>
          <cell r="I32" t="str">
            <v>01:09:15</v>
          </cell>
        </row>
        <row r="33">
          <cell r="A33" t="str">
            <v>Hyd_Indra Singh (1008543)</v>
          </cell>
          <cell r="B33" t="str">
            <v>00:39:19</v>
          </cell>
          <cell r="C33" t="str">
            <v>00:28:23</v>
          </cell>
          <cell r="D33" t="str">
            <v>00:00:00</v>
          </cell>
          <cell r="E33" t="str">
            <v>01:01:07</v>
          </cell>
          <cell r="F33" t="str">
            <v>00:00:00</v>
          </cell>
          <cell r="G33" t="str">
            <v>00:00:00</v>
          </cell>
          <cell r="H33" t="str">
            <v>00:00:00</v>
          </cell>
          <cell r="I33" t="str">
            <v>02:09:14</v>
          </cell>
        </row>
        <row r="34">
          <cell r="A34" t="str">
            <v>Hyd_Jagdish Chandra (1008544)</v>
          </cell>
          <cell r="B34" t="str">
            <v>00:42:06</v>
          </cell>
          <cell r="C34" t="str">
            <v>00:26:41</v>
          </cell>
          <cell r="D34" t="str">
            <v>00:00:00</v>
          </cell>
          <cell r="E34" t="str">
            <v>00:00:00</v>
          </cell>
          <cell r="F34" t="str">
            <v>00:00:00</v>
          </cell>
          <cell r="G34" t="str">
            <v>00:00:00</v>
          </cell>
          <cell r="H34" t="str">
            <v>00:00:00</v>
          </cell>
          <cell r="I34" t="str">
            <v>01:09:03</v>
          </cell>
        </row>
        <row r="35">
          <cell r="A35" t="str">
            <v>Hyd_Jairaj Vatham (1008545)</v>
          </cell>
          <cell r="B35" t="str">
            <v>00:39:09</v>
          </cell>
          <cell r="C35" t="str">
            <v>00:29:05</v>
          </cell>
          <cell r="D35" t="str">
            <v>00:00:00</v>
          </cell>
          <cell r="E35" t="str">
            <v>00:00:00</v>
          </cell>
          <cell r="F35" t="str">
            <v>00:00:00</v>
          </cell>
          <cell r="G35" t="str">
            <v>00:00:00</v>
          </cell>
          <cell r="H35" t="str">
            <v>00:00:00</v>
          </cell>
          <cell r="I35" t="str">
            <v>01:09:56</v>
          </cell>
        </row>
        <row r="36">
          <cell r="A36" t="str">
            <v>Hyd_Janardan Mishra (1008546)</v>
          </cell>
          <cell r="B36" t="str">
            <v>00:00:00</v>
          </cell>
          <cell r="C36" t="str">
            <v>00:25:16</v>
          </cell>
          <cell r="D36" t="str">
            <v>00:59:55</v>
          </cell>
          <cell r="E36" t="str">
            <v>00:00:00</v>
          </cell>
          <cell r="F36" t="str">
            <v>00:00:00</v>
          </cell>
          <cell r="G36" t="str">
            <v>00:00:00</v>
          </cell>
          <cell r="H36" t="str">
            <v>00:00:00</v>
          </cell>
          <cell r="I36" t="str">
            <v>01:28:09</v>
          </cell>
        </row>
        <row r="37">
          <cell r="A37" t="str">
            <v>Hyd_Jitendra Kumar (1008547)</v>
          </cell>
          <cell r="B37" t="str">
            <v>00:39:30</v>
          </cell>
          <cell r="C37" t="str">
            <v>00:29:15</v>
          </cell>
          <cell r="D37" t="str">
            <v>00:00:00</v>
          </cell>
          <cell r="E37" t="str">
            <v>00:57:43</v>
          </cell>
          <cell r="F37" t="str">
            <v>00:28:19</v>
          </cell>
          <cell r="G37" t="str">
            <v>00:00:00</v>
          </cell>
          <cell r="H37" t="str">
            <v>00:00:00</v>
          </cell>
          <cell r="I37" t="str">
            <v>02:35:12</v>
          </cell>
        </row>
        <row r="38">
          <cell r="A38" t="str">
            <v>Hyd_John D'Costa (1008548)</v>
          </cell>
          <cell r="B38" t="str">
            <v>00:39:48</v>
          </cell>
          <cell r="C38" t="str">
            <v>00:29:36</v>
          </cell>
          <cell r="D38" t="str">
            <v>00:00:00</v>
          </cell>
          <cell r="E38" t="str">
            <v>00:00:00</v>
          </cell>
          <cell r="F38" t="str">
            <v>00:00:00</v>
          </cell>
          <cell r="G38" t="str">
            <v>00:00:00</v>
          </cell>
          <cell r="H38" t="str">
            <v>00:00:00</v>
          </cell>
          <cell r="I38" t="str">
            <v>01:09:36</v>
          </cell>
        </row>
        <row r="39">
          <cell r="A39" t="str">
            <v>Hyd_Julie S (1008549)</v>
          </cell>
          <cell r="B39" t="str">
            <v>00:39:56</v>
          </cell>
          <cell r="C39" t="str">
            <v>00:29:49</v>
          </cell>
          <cell r="D39" t="str">
            <v>00:00:00</v>
          </cell>
          <cell r="E39" t="str">
            <v>00:00:00</v>
          </cell>
          <cell r="F39" t="str">
            <v>00:00:00</v>
          </cell>
          <cell r="G39" t="str">
            <v>00:00:00</v>
          </cell>
          <cell r="H39" t="str">
            <v>00:00:00</v>
          </cell>
          <cell r="I39" t="str">
            <v>01:10:44</v>
          </cell>
        </row>
        <row r="40">
          <cell r="A40" t="str">
            <v>Hyd_Jyoti Tulsani (1008550)</v>
          </cell>
          <cell r="B40" t="str">
            <v>00:39:45</v>
          </cell>
          <cell r="C40" t="str">
            <v>00:29:47</v>
          </cell>
          <cell r="D40" t="str">
            <v>00:00:00</v>
          </cell>
          <cell r="E40" t="str">
            <v>00:00:00</v>
          </cell>
          <cell r="F40" t="str">
            <v>00:00:00</v>
          </cell>
          <cell r="G40" t="str">
            <v>00:00:00</v>
          </cell>
          <cell r="H40" t="str">
            <v>00:00:00</v>
          </cell>
          <cell r="I40" t="str">
            <v>01:10:27</v>
          </cell>
        </row>
        <row r="41">
          <cell r="A41" t="str">
            <v>Hyd_Kahkasha Parveen (1008551)</v>
          </cell>
          <cell r="B41" t="str">
            <v>00:41:56</v>
          </cell>
          <cell r="C41" t="str">
            <v>00:28:08</v>
          </cell>
          <cell r="D41" t="str">
            <v>00:00:00</v>
          </cell>
          <cell r="E41" t="str">
            <v>00:00:00</v>
          </cell>
          <cell r="F41" t="str">
            <v>00:00:00</v>
          </cell>
          <cell r="G41" t="str">
            <v>00:00:00</v>
          </cell>
          <cell r="H41" t="str">
            <v>00:00:00</v>
          </cell>
          <cell r="I41" t="str">
            <v>01:10:12</v>
          </cell>
        </row>
        <row r="42">
          <cell r="A42" t="str">
            <v>Hyd_Kailash Nath (1008552)</v>
          </cell>
          <cell r="B42" t="str">
            <v>00:38:04</v>
          </cell>
          <cell r="C42" t="str">
            <v>00:28:33</v>
          </cell>
          <cell r="D42" t="str">
            <v>00:00:00</v>
          </cell>
          <cell r="E42" t="str">
            <v>00:00:00</v>
          </cell>
          <cell r="F42" t="str">
            <v>00:00:00</v>
          </cell>
          <cell r="G42" t="str">
            <v>00:00:00</v>
          </cell>
          <cell r="H42" t="str">
            <v>00:00:00</v>
          </cell>
          <cell r="I42" t="str">
            <v>01:07:40</v>
          </cell>
        </row>
        <row r="43">
          <cell r="A43" t="str">
            <v>Hyd_Kalpana Agrawal (1008553)</v>
          </cell>
          <cell r="B43" t="str">
            <v>00:32:59</v>
          </cell>
          <cell r="C43" t="str">
            <v>00:32:50</v>
          </cell>
          <cell r="D43" t="str">
            <v>00:00:00</v>
          </cell>
          <cell r="E43" t="str">
            <v>00:00:00</v>
          </cell>
          <cell r="F43" t="str">
            <v>01:17:58</v>
          </cell>
          <cell r="G43" t="str">
            <v>00:00:00</v>
          </cell>
          <cell r="H43" t="str">
            <v>00:00:00</v>
          </cell>
          <cell r="I43" t="str">
            <v>02:24:54</v>
          </cell>
        </row>
        <row r="44">
          <cell r="A44" t="str">
            <v>Hyd_Kamini Kumar (1008554)</v>
          </cell>
          <cell r="B44" t="str">
            <v>00:00:00</v>
          </cell>
          <cell r="C44" t="str">
            <v>00:14:51</v>
          </cell>
          <cell r="D44" t="str">
            <v>00:00:00</v>
          </cell>
          <cell r="E44" t="str">
            <v>00:00:00</v>
          </cell>
          <cell r="F44" t="str">
            <v>00:00:00</v>
          </cell>
          <cell r="G44" t="str">
            <v>00:00:00</v>
          </cell>
          <cell r="H44" t="str">
            <v>00:00:00</v>
          </cell>
          <cell r="I44" t="str">
            <v>00:15:00</v>
          </cell>
        </row>
        <row r="45">
          <cell r="A45" t="str">
            <v>Hyd_Kamini Tiwari (1008555)</v>
          </cell>
          <cell r="B45" t="str">
            <v>00:36:12</v>
          </cell>
          <cell r="C45" t="str">
            <v>00:29:58</v>
          </cell>
          <cell r="D45" t="str">
            <v>00:00:00</v>
          </cell>
          <cell r="E45" t="str">
            <v>00:00:00</v>
          </cell>
          <cell r="F45" t="str">
            <v>00:00:00</v>
          </cell>
          <cell r="G45" t="str">
            <v>00:02:34</v>
          </cell>
          <cell r="H45" t="str">
            <v>00:00:00</v>
          </cell>
          <cell r="I45" t="str">
            <v>01:09:45</v>
          </cell>
        </row>
        <row r="46">
          <cell r="A46" t="str">
            <v>Hyd_Kavita Sharma (1008556)</v>
          </cell>
          <cell r="B46" t="str">
            <v>00:22:27</v>
          </cell>
          <cell r="C46" t="str">
            <v>00:32:36</v>
          </cell>
          <cell r="D46" t="str">
            <v>00:00:00</v>
          </cell>
          <cell r="E46" t="str">
            <v>00:00:00</v>
          </cell>
          <cell r="F46" t="str">
            <v>00:00:00</v>
          </cell>
          <cell r="G46" t="str">
            <v>00:00:00</v>
          </cell>
          <cell r="H46" t="str">
            <v>00:00:00</v>
          </cell>
          <cell r="I46" t="str">
            <v>00:56:19</v>
          </cell>
        </row>
        <row r="47">
          <cell r="A47" t="str">
            <v>Hyd_Kiran Khubchandani (1008557)</v>
          </cell>
          <cell r="B47" t="str">
            <v>00:39:52</v>
          </cell>
          <cell r="C47" t="str">
            <v>00:29:53</v>
          </cell>
          <cell r="D47" t="str">
            <v>01:00:11</v>
          </cell>
          <cell r="E47" t="str">
            <v>00:00:00</v>
          </cell>
          <cell r="F47" t="str">
            <v>00:00:00</v>
          </cell>
          <cell r="G47" t="str">
            <v>00:00:00</v>
          </cell>
          <cell r="H47" t="str">
            <v>00:00:00</v>
          </cell>
          <cell r="I47" t="str">
            <v>02:10:24</v>
          </cell>
        </row>
        <row r="48">
          <cell r="A48" t="str">
            <v>Hyd_Kisun Sah (1008558)</v>
          </cell>
          <cell r="B48" t="str">
            <v>00:39:19</v>
          </cell>
          <cell r="C48" t="str">
            <v>00:29:53</v>
          </cell>
          <cell r="D48" t="str">
            <v>00:00:00</v>
          </cell>
          <cell r="E48" t="str">
            <v>00:00:00</v>
          </cell>
          <cell r="F48" t="str">
            <v>00:00:00</v>
          </cell>
          <cell r="G48" t="str">
            <v>00:00:00</v>
          </cell>
          <cell r="H48" t="str">
            <v>00:00:00</v>
          </cell>
          <cell r="I48" t="str">
            <v>01:09:28</v>
          </cell>
        </row>
        <row r="49">
          <cell r="A49" t="str">
            <v>Hyd_Krishana Kumar (1008559)</v>
          </cell>
          <cell r="B49" t="str">
            <v>00:39:57</v>
          </cell>
          <cell r="C49" t="str">
            <v>00:29:39</v>
          </cell>
          <cell r="D49" t="str">
            <v>00:00:00</v>
          </cell>
          <cell r="E49" t="str">
            <v>00:00:00</v>
          </cell>
          <cell r="F49" t="str">
            <v>00:00:00</v>
          </cell>
          <cell r="G49" t="str">
            <v>00:00:00</v>
          </cell>
          <cell r="H49" t="str">
            <v>00:00:00</v>
          </cell>
          <cell r="I49" t="str">
            <v>01:09:45</v>
          </cell>
        </row>
        <row r="50">
          <cell r="A50" t="str">
            <v>Hyd_Kunj Bihari (1008560)</v>
          </cell>
          <cell r="B50" t="str">
            <v>00:40:00</v>
          </cell>
          <cell r="C50" t="str">
            <v>00:30:01</v>
          </cell>
          <cell r="D50" t="str">
            <v>00:00:00</v>
          </cell>
          <cell r="E50" t="str">
            <v>00:00:00</v>
          </cell>
          <cell r="F50" t="str">
            <v>00:00:00</v>
          </cell>
          <cell r="G50" t="str">
            <v>00:00:00</v>
          </cell>
          <cell r="H50" t="str">
            <v>00:00:00</v>
          </cell>
          <cell r="I50" t="str">
            <v>01:10:11</v>
          </cell>
        </row>
        <row r="51">
          <cell r="A51" t="str">
            <v>Hyd_Leena George (1008561)</v>
          </cell>
          <cell r="B51" t="str">
            <v>00:00:00</v>
          </cell>
          <cell r="C51" t="str">
            <v>00:15:12</v>
          </cell>
          <cell r="D51" t="str">
            <v>00:00:00</v>
          </cell>
          <cell r="E51" t="str">
            <v>00:00:00</v>
          </cell>
          <cell r="F51" t="str">
            <v>00:00:00</v>
          </cell>
          <cell r="G51" t="str">
            <v>00:02:41</v>
          </cell>
          <cell r="H51" t="str">
            <v>00:00:00</v>
          </cell>
          <cell r="I51" t="str">
            <v>00:18:10</v>
          </cell>
        </row>
        <row r="52">
          <cell r="A52" t="str">
            <v>Hyd_Lilly Lucy (1008562)</v>
          </cell>
          <cell r="B52" t="str">
            <v>00:20:52</v>
          </cell>
          <cell r="C52" t="str">
            <v>00:30:04</v>
          </cell>
          <cell r="D52" t="str">
            <v>00:00:00</v>
          </cell>
          <cell r="E52" t="str">
            <v>00:00:00</v>
          </cell>
          <cell r="F52" t="str">
            <v>00:00:00</v>
          </cell>
          <cell r="G52" t="str">
            <v>00:23:27</v>
          </cell>
          <cell r="H52" t="str">
            <v>00:00:00</v>
          </cell>
          <cell r="I52" t="str">
            <v>01:14:44</v>
          </cell>
        </row>
        <row r="53">
          <cell r="A53" t="str">
            <v>Hyd_Mangal Singh (1008563)</v>
          </cell>
          <cell r="B53" t="str">
            <v>00:39:59</v>
          </cell>
          <cell r="C53" t="str">
            <v>00:29:57</v>
          </cell>
          <cell r="D53" t="str">
            <v>00:00:00</v>
          </cell>
          <cell r="E53" t="str">
            <v>00:00:00</v>
          </cell>
          <cell r="F53" t="str">
            <v>00:00:00</v>
          </cell>
          <cell r="G53" t="str">
            <v>00:00:00</v>
          </cell>
          <cell r="H53" t="str">
            <v>00:00:00</v>
          </cell>
          <cell r="I53" t="str">
            <v>01:10:04</v>
          </cell>
        </row>
        <row r="54">
          <cell r="A54" t="str">
            <v>Hyd_Manisha Shrivastava (1008564)</v>
          </cell>
          <cell r="B54" t="str">
            <v>00:39:58</v>
          </cell>
          <cell r="C54" t="str">
            <v>00:29:58</v>
          </cell>
          <cell r="D54" t="str">
            <v>00:00:00</v>
          </cell>
          <cell r="E54" t="str">
            <v>00:00:00</v>
          </cell>
          <cell r="F54" t="str">
            <v>00:00:00</v>
          </cell>
          <cell r="G54" t="str">
            <v>00:00:00</v>
          </cell>
          <cell r="H54" t="str">
            <v>00:00:00</v>
          </cell>
          <cell r="I54" t="str">
            <v>01:10:09</v>
          </cell>
        </row>
        <row r="55">
          <cell r="A55" t="str">
            <v>Hyd_Manjusha Sinha (1008565)</v>
          </cell>
          <cell r="B55" t="str">
            <v>00:44:30</v>
          </cell>
          <cell r="C55" t="str">
            <v>00:25:13</v>
          </cell>
          <cell r="D55" t="str">
            <v>00:00:00</v>
          </cell>
          <cell r="E55" t="str">
            <v>00:00:00</v>
          </cell>
          <cell r="F55" t="str">
            <v>00:00:00</v>
          </cell>
          <cell r="G55" t="str">
            <v>00:00:00</v>
          </cell>
          <cell r="H55" t="str">
            <v>00:00:00</v>
          </cell>
          <cell r="I55" t="str">
            <v>01:10:39</v>
          </cell>
        </row>
        <row r="56">
          <cell r="A56" t="str">
            <v>Hyd_ManjuTiwari Lab (1008566)</v>
          </cell>
          <cell r="B56" t="str">
            <v>00:39:42</v>
          </cell>
          <cell r="C56" t="str">
            <v>00:30:06</v>
          </cell>
          <cell r="D56" t="str">
            <v>00:00:00</v>
          </cell>
          <cell r="E56" t="str">
            <v>00:00:00</v>
          </cell>
          <cell r="F56" t="str">
            <v>00:00:00</v>
          </cell>
          <cell r="G56" t="str">
            <v>00:00:00</v>
          </cell>
          <cell r="H56" t="str">
            <v>00:00:00</v>
          </cell>
          <cell r="I56" t="str">
            <v>01:10:46</v>
          </cell>
        </row>
        <row r="57">
          <cell r="A57" t="str">
            <v>Hyd_Manoj Kumar (1008567)</v>
          </cell>
          <cell r="B57" t="str">
            <v>00:39:54</v>
          </cell>
          <cell r="C57" t="str">
            <v>00:29:53</v>
          </cell>
          <cell r="D57" t="str">
            <v>00:00:00</v>
          </cell>
          <cell r="E57" t="str">
            <v>00:00:00</v>
          </cell>
          <cell r="F57" t="str">
            <v>00:00:00</v>
          </cell>
          <cell r="G57" t="str">
            <v>00:00:00</v>
          </cell>
          <cell r="H57" t="str">
            <v>00:00:00</v>
          </cell>
          <cell r="I57" t="str">
            <v>01:09:53</v>
          </cell>
        </row>
        <row r="58">
          <cell r="A58" t="str">
            <v>Hyd_Manoj Kumar (1008568)</v>
          </cell>
          <cell r="B58" t="str">
            <v>00:39:56</v>
          </cell>
          <cell r="C58" t="str">
            <v>00:29:53</v>
          </cell>
          <cell r="D58" t="str">
            <v>00:00:00</v>
          </cell>
          <cell r="E58" t="str">
            <v>00:00:00</v>
          </cell>
          <cell r="F58" t="str">
            <v>00:00:00</v>
          </cell>
          <cell r="G58" t="str">
            <v>00:00:00</v>
          </cell>
          <cell r="H58" t="str">
            <v>00:00:00</v>
          </cell>
          <cell r="I58" t="str">
            <v>01:15:59</v>
          </cell>
        </row>
        <row r="59">
          <cell r="A59" t="str">
            <v>Hyd_Masroor Adil (1008569)</v>
          </cell>
          <cell r="B59" t="str">
            <v>00:39:55</v>
          </cell>
          <cell r="C59" t="str">
            <v>00:29:46</v>
          </cell>
          <cell r="D59" t="str">
            <v>00:00:00</v>
          </cell>
          <cell r="E59" t="str">
            <v>00:00:00</v>
          </cell>
          <cell r="F59" t="str">
            <v>00:00:00</v>
          </cell>
          <cell r="G59" t="str">
            <v>00:00:00</v>
          </cell>
          <cell r="H59" t="str">
            <v>00:00:00</v>
          </cell>
          <cell r="I59" t="str">
            <v>01:11:39</v>
          </cell>
        </row>
        <row r="60">
          <cell r="A60" t="str">
            <v>Hyd_Meena Zinjare (1008570)</v>
          </cell>
          <cell r="B60" t="str">
            <v>00:41:13</v>
          </cell>
          <cell r="C60" t="str">
            <v>00:30:01</v>
          </cell>
          <cell r="D60" t="str">
            <v>00:00:00</v>
          </cell>
          <cell r="E60" t="str">
            <v>01:06:34</v>
          </cell>
          <cell r="F60" t="str">
            <v>01:16:39</v>
          </cell>
          <cell r="G60" t="str">
            <v>00:00:00</v>
          </cell>
          <cell r="H60" t="str">
            <v>00:00:00</v>
          </cell>
          <cell r="I60" t="str">
            <v>03:34:45</v>
          </cell>
        </row>
        <row r="61">
          <cell r="A61" t="str">
            <v>Hyd_Mehnaz Khan (1008571)</v>
          </cell>
          <cell r="B61" t="str">
            <v>00:39:57</v>
          </cell>
          <cell r="C61" t="str">
            <v>00:29:32</v>
          </cell>
          <cell r="D61" t="str">
            <v>00:00:00</v>
          </cell>
          <cell r="E61" t="str">
            <v>00:54:51</v>
          </cell>
          <cell r="F61" t="str">
            <v>00:00:00</v>
          </cell>
          <cell r="G61" t="str">
            <v>00:07:49</v>
          </cell>
          <cell r="H61" t="str">
            <v>00:00:00</v>
          </cell>
          <cell r="I61" t="str">
            <v>02:12:24</v>
          </cell>
        </row>
        <row r="62">
          <cell r="A62" t="str">
            <v>Hyd_Mercy Thampi (1008572)</v>
          </cell>
          <cell r="B62" t="str">
            <v>00:00:00</v>
          </cell>
          <cell r="C62" t="str">
            <v>00:14:48</v>
          </cell>
          <cell r="D62" t="str">
            <v>00:00:00</v>
          </cell>
          <cell r="E62" t="str">
            <v>00:00:00</v>
          </cell>
          <cell r="F62" t="str">
            <v>00:00:00</v>
          </cell>
          <cell r="G62" t="str">
            <v>00:00:00</v>
          </cell>
          <cell r="H62" t="str">
            <v>00:00:00</v>
          </cell>
          <cell r="I62" t="str">
            <v>00:15:35</v>
          </cell>
        </row>
        <row r="63">
          <cell r="A63" t="str">
            <v>Hyd_Miny Mole (1008573)</v>
          </cell>
          <cell r="B63" t="str">
            <v>00:40:00</v>
          </cell>
          <cell r="C63" t="str">
            <v>00:29:59</v>
          </cell>
          <cell r="D63" t="str">
            <v>01:02:58</v>
          </cell>
          <cell r="E63" t="str">
            <v>00:00:00</v>
          </cell>
          <cell r="F63" t="str">
            <v>00:00:00</v>
          </cell>
          <cell r="G63" t="str">
            <v>00:00:00</v>
          </cell>
          <cell r="H63" t="str">
            <v>00:00:00</v>
          </cell>
          <cell r="I63" t="str">
            <v>02:13:07</v>
          </cell>
        </row>
        <row r="64">
          <cell r="A64" t="str">
            <v>Hyd_Mohd Rafi (1008574)</v>
          </cell>
          <cell r="B64" t="str">
            <v>00:39:50</v>
          </cell>
          <cell r="C64" t="str">
            <v>00:30:06</v>
          </cell>
          <cell r="D64" t="str">
            <v>00:00:00</v>
          </cell>
          <cell r="E64" t="str">
            <v>00:57:24</v>
          </cell>
          <cell r="F64" t="str">
            <v>00:30:18</v>
          </cell>
          <cell r="G64" t="str">
            <v>00:00:00</v>
          </cell>
          <cell r="H64" t="str">
            <v>00:00:00</v>
          </cell>
          <cell r="I64" t="str">
            <v>02:38:29</v>
          </cell>
        </row>
        <row r="65">
          <cell r="A65" t="str">
            <v>Hyd_Mubeen Khan (1008575)</v>
          </cell>
          <cell r="B65" t="str">
            <v>00:22:13</v>
          </cell>
          <cell r="C65" t="str">
            <v>00:29:56</v>
          </cell>
          <cell r="D65" t="str">
            <v>00:00:00</v>
          </cell>
          <cell r="E65" t="str">
            <v>00:59:44</v>
          </cell>
          <cell r="F65" t="str">
            <v>00:30:05</v>
          </cell>
          <cell r="G65" t="str">
            <v>00:00:00</v>
          </cell>
          <cell r="H65" t="str">
            <v>00:00:00</v>
          </cell>
          <cell r="I65" t="str">
            <v>02:24:38</v>
          </cell>
        </row>
        <row r="66">
          <cell r="A66" t="str">
            <v>Hyd_Mukesh Nagar (1008576)</v>
          </cell>
          <cell r="B66" t="str">
            <v>00:00:00</v>
          </cell>
          <cell r="C66" t="str">
            <v>00:14:52</v>
          </cell>
          <cell r="D66" t="str">
            <v>00:00:00</v>
          </cell>
          <cell r="E66" t="str">
            <v>00:00:00</v>
          </cell>
          <cell r="F66" t="str">
            <v>00:00:00</v>
          </cell>
          <cell r="G66" t="str">
            <v>00:14:31</v>
          </cell>
          <cell r="H66" t="str">
            <v>00:00:00</v>
          </cell>
          <cell r="I66" t="str">
            <v>00:29:34</v>
          </cell>
        </row>
        <row r="67">
          <cell r="A67" t="str">
            <v>Hyd_Nandu Kumar (1008577)</v>
          </cell>
          <cell r="B67" t="str">
            <v>00:39:48</v>
          </cell>
          <cell r="C67" t="str">
            <v>00:21:10</v>
          </cell>
          <cell r="D67" t="str">
            <v>00:00:00</v>
          </cell>
          <cell r="E67" t="str">
            <v>00:00:00</v>
          </cell>
          <cell r="F67" t="str">
            <v>00:00:00</v>
          </cell>
          <cell r="G67" t="str">
            <v>00:00:00</v>
          </cell>
          <cell r="H67" t="str">
            <v>00:00:00</v>
          </cell>
          <cell r="I67" t="str">
            <v>01:14:03</v>
          </cell>
        </row>
        <row r="68">
          <cell r="A68" t="str">
            <v>Hyd_Narayan Singh (1008578)</v>
          </cell>
          <cell r="B68" t="str">
            <v>00:41:59</v>
          </cell>
          <cell r="C68" t="str">
            <v>00:24:59</v>
          </cell>
          <cell r="D68" t="str">
            <v>00:00:00</v>
          </cell>
          <cell r="E68" t="str">
            <v>00:00:00</v>
          </cell>
          <cell r="F68" t="str">
            <v>00:00:00</v>
          </cell>
          <cell r="G68" t="str">
            <v>00:00:00</v>
          </cell>
          <cell r="H68" t="str">
            <v>00:00:00</v>
          </cell>
          <cell r="I68" t="str">
            <v>01:08:27</v>
          </cell>
        </row>
        <row r="69">
          <cell r="A69" t="str">
            <v>Hyd_Neeraj Saxena (1008579)</v>
          </cell>
          <cell r="B69" t="str">
            <v>00:39:49</v>
          </cell>
          <cell r="C69" t="str">
            <v>00:28:46</v>
          </cell>
          <cell r="D69" t="str">
            <v>01:05:52</v>
          </cell>
          <cell r="E69" t="str">
            <v>00:00:00</v>
          </cell>
          <cell r="F69" t="str">
            <v>00:00:00</v>
          </cell>
          <cell r="G69" t="str">
            <v>00:00:00</v>
          </cell>
          <cell r="H69" t="str">
            <v>00:00:00</v>
          </cell>
          <cell r="I69" t="str">
            <v>02:15:18</v>
          </cell>
        </row>
        <row r="70">
          <cell r="A70" t="str">
            <v>Hyd_Neeru Mehta (1008580)</v>
          </cell>
          <cell r="B70" t="str">
            <v>00:39:59</v>
          </cell>
          <cell r="C70" t="str">
            <v>00:29:55</v>
          </cell>
          <cell r="D70" t="str">
            <v>00:00:00</v>
          </cell>
          <cell r="E70" t="str">
            <v>00:00:00</v>
          </cell>
          <cell r="F70" t="str">
            <v>00:00:00</v>
          </cell>
          <cell r="G70" t="str">
            <v>00:00:00</v>
          </cell>
          <cell r="H70" t="str">
            <v>00:00:00</v>
          </cell>
          <cell r="I70" t="str">
            <v>01:10:03</v>
          </cell>
        </row>
        <row r="71">
          <cell r="A71" t="str">
            <v>Hyd_Nikita Panwalkar (1008581)</v>
          </cell>
          <cell r="B71" t="str">
            <v>00:40:04</v>
          </cell>
          <cell r="C71" t="str">
            <v>00:29:41</v>
          </cell>
          <cell r="D71" t="str">
            <v>00:00:00</v>
          </cell>
          <cell r="E71" t="str">
            <v>00:00:00</v>
          </cell>
          <cell r="F71" t="str">
            <v>00:27:31</v>
          </cell>
          <cell r="G71" t="str">
            <v>00:00:00</v>
          </cell>
          <cell r="H71" t="str">
            <v>00:00:00</v>
          </cell>
          <cell r="I71" t="str">
            <v>01:37:25</v>
          </cell>
        </row>
        <row r="72">
          <cell r="A72" t="str">
            <v>Hyd_Nitin Bhatia (1008582)</v>
          </cell>
          <cell r="B72" t="str">
            <v>00:39:54</v>
          </cell>
          <cell r="C72" t="str">
            <v>00:29:50</v>
          </cell>
          <cell r="D72" t="str">
            <v>00:00:00</v>
          </cell>
          <cell r="E72" t="str">
            <v>00:00:00</v>
          </cell>
          <cell r="F72" t="str">
            <v>00:00:00</v>
          </cell>
          <cell r="G72" t="str">
            <v>00:00:00</v>
          </cell>
          <cell r="H72" t="str">
            <v>00:00:00</v>
          </cell>
          <cell r="I72" t="str">
            <v>01:09:53</v>
          </cell>
        </row>
        <row r="73">
          <cell r="A73" t="str">
            <v>Hyd_Om Prakash (1008583)</v>
          </cell>
          <cell r="B73" t="str">
            <v>00:39:48</v>
          </cell>
          <cell r="C73" t="str">
            <v>00:29:54</v>
          </cell>
          <cell r="D73" t="str">
            <v>00:00:00</v>
          </cell>
          <cell r="E73" t="str">
            <v>00:00:00</v>
          </cell>
          <cell r="F73" t="str">
            <v>00:25:43</v>
          </cell>
          <cell r="G73" t="str">
            <v>00:00:00</v>
          </cell>
          <cell r="H73" t="str">
            <v>00:00:00</v>
          </cell>
          <cell r="I73" t="str">
            <v>01:36:03</v>
          </cell>
        </row>
        <row r="74">
          <cell r="A74" t="str">
            <v>Hyd_Omprakash O (1008584)</v>
          </cell>
          <cell r="B74" t="str">
            <v>00:39:30</v>
          </cell>
          <cell r="C74" t="str">
            <v>00:28:52</v>
          </cell>
          <cell r="D74" t="str">
            <v>01:01:11</v>
          </cell>
          <cell r="E74" t="str">
            <v>00:00:00</v>
          </cell>
          <cell r="F74" t="str">
            <v>00:00:00</v>
          </cell>
          <cell r="G74" t="str">
            <v>00:00:00</v>
          </cell>
          <cell r="H74" t="str">
            <v>00:00:00</v>
          </cell>
          <cell r="I74" t="str">
            <v>02:11:54</v>
          </cell>
        </row>
        <row r="75">
          <cell r="A75" t="str">
            <v>Hyd_Owais Mohd (1008585)</v>
          </cell>
          <cell r="B75" t="str">
            <v>00:39:56</v>
          </cell>
          <cell r="C75" t="str">
            <v>00:30:00</v>
          </cell>
          <cell r="D75" t="str">
            <v>00:00:00</v>
          </cell>
          <cell r="E75" t="str">
            <v>00:00:00</v>
          </cell>
          <cell r="F75" t="str">
            <v>01:16:16</v>
          </cell>
          <cell r="G75" t="str">
            <v>00:00:00</v>
          </cell>
          <cell r="H75" t="str">
            <v>00:00:00</v>
          </cell>
          <cell r="I75" t="str">
            <v>02:26:26</v>
          </cell>
        </row>
        <row r="76">
          <cell r="A76" t="str">
            <v>Hyd_Pankaj Shelkey (1008586)</v>
          </cell>
          <cell r="B76" t="str">
            <v>00:39:59</v>
          </cell>
          <cell r="C76" t="str">
            <v>00:29:58</v>
          </cell>
          <cell r="D76" t="str">
            <v>00:00:00</v>
          </cell>
          <cell r="E76" t="str">
            <v>00:00:00</v>
          </cell>
          <cell r="F76" t="str">
            <v>00:00:00</v>
          </cell>
          <cell r="G76" t="str">
            <v>00:00:00</v>
          </cell>
          <cell r="H76" t="str">
            <v>00:45:18</v>
          </cell>
          <cell r="I76" t="str">
            <v>01:55:26</v>
          </cell>
        </row>
        <row r="77">
          <cell r="A77" t="str">
            <v>Hyd_Partha Sarathi (1008587)</v>
          </cell>
          <cell r="B77" t="str">
            <v>00:41:16</v>
          </cell>
          <cell r="C77" t="str">
            <v>00:29:14</v>
          </cell>
          <cell r="D77" t="str">
            <v>00:27:13</v>
          </cell>
          <cell r="E77" t="str">
            <v>00:00:00</v>
          </cell>
          <cell r="F77" t="str">
            <v>00:00:00</v>
          </cell>
          <cell r="G77" t="str">
            <v>00:00:00</v>
          </cell>
          <cell r="H77" t="str">
            <v>00:00:00</v>
          </cell>
          <cell r="I77" t="str">
            <v>01:38:42</v>
          </cell>
        </row>
        <row r="78">
          <cell r="A78" t="str">
            <v>Hyd_Prabha Desikan (1008588)</v>
          </cell>
          <cell r="B78" t="str">
            <v>00:39:03</v>
          </cell>
          <cell r="C78" t="str">
            <v>00:15:01</v>
          </cell>
          <cell r="D78" t="str">
            <v>00:00:00</v>
          </cell>
          <cell r="E78" t="str">
            <v>00:00:00</v>
          </cell>
          <cell r="F78" t="str">
            <v>02:36:37</v>
          </cell>
          <cell r="G78" t="str">
            <v>00:00:00</v>
          </cell>
          <cell r="H78" t="str">
            <v>00:40:39</v>
          </cell>
          <cell r="I78" t="str">
            <v>04:11:26</v>
          </cell>
        </row>
        <row r="79">
          <cell r="A79" t="str">
            <v>Hyd_Pramod Tiwari (1008589)</v>
          </cell>
          <cell r="B79" t="str">
            <v>00:39:59</v>
          </cell>
          <cell r="C79" t="str">
            <v>00:16:04</v>
          </cell>
          <cell r="D79" t="str">
            <v>01:06:00</v>
          </cell>
          <cell r="E79" t="str">
            <v>00:00:00</v>
          </cell>
          <cell r="F79" t="str">
            <v>02:18:51</v>
          </cell>
          <cell r="G79" t="str">
            <v>00:00:00</v>
          </cell>
          <cell r="H79" t="str">
            <v>00:00:00</v>
          </cell>
          <cell r="I79" t="str">
            <v>04:21:06</v>
          </cell>
        </row>
        <row r="80">
          <cell r="A80" t="str">
            <v>Hyd_Prasannakumari S (1008590)</v>
          </cell>
          <cell r="B80" t="str">
            <v>00:39:50</v>
          </cell>
          <cell r="C80" t="str">
            <v>00:30:15</v>
          </cell>
          <cell r="D80" t="str">
            <v>00:00:00</v>
          </cell>
          <cell r="E80" t="str">
            <v>00:00:00</v>
          </cell>
          <cell r="F80" t="str">
            <v>00:00:00</v>
          </cell>
          <cell r="G80" t="str">
            <v>00:00:00</v>
          </cell>
          <cell r="H80" t="str">
            <v>00:00:00</v>
          </cell>
          <cell r="I80" t="str">
            <v>01:10:25</v>
          </cell>
        </row>
        <row r="81">
          <cell r="A81" t="str">
            <v>Hyd_Praveen Kumar (1008591)</v>
          </cell>
          <cell r="B81" t="str">
            <v>00:41:26</v>
          </cell>
          <cell r="C81" t="str">
            <v>00:27:00</v>
          </cell>
          <cell r="D81" t="str">
            <v>01:28:47</v>
          </cell>
          <cell r="E81" t="str">
            <v>00:00:00</v>
          </cell>
          <cell r="F81" t="str">
            <v>00:00:00</v>
          </cell>
          <cell r="G81" t="str">
            <v>00:00:00</v>
          </cell>
          <cell r="H81" t="str">
            <v>00:00:00</v>
          </cell>
          <cell r="I81" t="str">
            <v>02:37:28</v>
          </cell>
        </row>
        <row r="82">
          <cell r="A82" t="str">
            <v>Hyd_Rachel Mathew (1008592)</v>
          </cell>
          <cell r="B82" t="str">
            <v>00:36:50</v>
          </cell>
          <cell r="C82" t="str">
            <v>00:15:31</v>
          </cell>
          <cell r="D82" t="str">
            <v>00:00:00</v>
          </cell>
          <cell r="E82" t="str">
            <v>00:00:00</v>
          </cell>
          <cell r="F82" t="str">
            <v>02:27:33</v>
          </cell>
          <cell r="G82" t="str">
            <v>00:00:00</v>
          </cell>
          <cell r="H82" t="str">
            <v>00:00:00</v>
          </cell>
          <cell r="I82" t="str">
            <v>03:20:01</v>
          </cell>
        </row>
        <row r="83">
          <cell r="A83" t="str">
            <v>Hyd_Rachita Anupam (1008593)</v>
          </cell>
          <cell r="B83" t="str">
            <v>00:43:23</v>
          </cell>
          <cell r="C83" t="str">
            <v>00:25:02</v>
          </cell>
          <cell r="D83" t="str">
            <v>00:00:00</v>
          </cell>
          <cell r="E83" t="str">
            <v>00:00:00</v>
          </cell>
          <cell r="F83" t="str">
            <v>00:00:00</v>
          </cell>
          <cell r="G83" t="str">
            <v>00:00:00</v>
          </cell>
          <cell r="H83" t="str">
            <v>00:00:00</v>
          </cell>
          <cell r="I83" t="str">
            <v>01:08:32</v>
          </cell>
        </row>
        <row r="84">
          <cell r="A84" t="str">
            <v>Hyd_Rachna Chauhan (1008594)</v>
          </cell>
          <cell r="B84" t="str">
            <v>00:00:00</v>
          </cell>
          <cell r="C84" t="str">
            <v>00:30:00</v>
          </cell>
          <cell r="D84" t="str">
            <v>00:00:00</v>
          </cell>
          <cell r="E84" t="str">
            <v>00:00:00</v>
          </cell>
          <cell r="F84" t="str">
            <v>00:00:00</v>
          </cell>
          <cell r="G84" t="str">
            <v>00:00:00</v>
          </cell>
          <cell r="H84" t="str">
            <v>00:00:00</v>
          </cell>
          <cell r="I84" t="str">
            <v>00:30:20</v>
          </cell>
        </row>
        <row r="85">
          <cell r="A85" t="str">
            <v>Hyd_Raj Kumar (1008595)</v>
          </cell>
          <cell r="B85" t="str">
            <v>00:39:14</v>
          </cell>
          <cell r="C85" t="str">
            <v>00:28:23</v>
          </cell>
          <cell r="D85" t="str">
            <v>00:00:00</v>
          </cell>
          <cell r="E85" t="str">
            <v>00:00:00</v>
          </cell>
          <cell r="F85" t="str">
            <v>00:00:00</v>
          </cell>
          <cell r="G85" t="str">
            <v>00:00:00</v>
          </cell>
          <cell r="H85" t="str">
            <v>00:00:00</v>
          </cell>
          <cell r="I85" t="str">
            <v>01:08:44</v>
          </cell>
        </row>
        <row r="86">
          <cell r="A86" t="str">
            <v>Hyd_Rajeev Garg (1008596)</v>
          </cell>
          <cell r="B86" t="str">
            <v>00:39:56</v>
          </cell>
          <cell r="C86" t="str">
            <v>00:25:04</v>
          </cell>
          <cell r="D86" t="str">
            <v>00:00:00</v>
          </cell>
          <cell r="E86" t="str">
            <v>00:00:00</v>
          </cell>
          <cell r="F86" t="str">
            <v>00:00:00</v>
          </cell>
          <cell r="G86" t="str">
            <v>00:00:00</v>
          </cell>
          <cell r="H86" t="str">
            <v>00:00:00</v>
          </cell>
          <cell r="I86" t="str">
            <v>01:08:24</v>
          </cell>
        </row>
        <row r="87">
          <cell r="A87" t="str">
            <v>Hyd_Rajeev Kumar (1008597)</v>
          </cell>
          <cell r="B87" t="str">
            <v>00:39:40</v>
          </cell>
          <cell r="C87" t="str">
            <v>00:30:17</v>
          </cell>
          <cell r="D87" t="str">
            <v>00:00:00</v>
          </cell>
          <cell r="E87" t="str">
            <v>00:00:00</v>
          </cell>
          <cell r="F87" t="str">
            <v>00:00:00</v>
          </cell>
          <cell r="G87" t="str">
            <v>00:00:00</v>
          </cell>
          <cell r="H87" t="str">
            <v>00:26:42</v>
          </cell>
          <cell r="I87" t="str">
            <v>01:37:06</v>
          </cell>
        </row>
        <row r="88">
          <cell r="A88" t="str">
            <v>Hyd_Rajendra Gupta (1008598)</v>
          </cell>
          <cell r="B88" t="str">
            <v>00:40:05</v>
          </cell>
          <cell r="C88" t="str">
            <v>00:29:50</v>
          </cell>
          <cell r="D88" t="str">
            <v>00:00:00</v>
          </cell>
          <cell r="E88" t="str">
            <v>00:00:00</v>
          </cell>
          <cell r="F88" t="str">
            <v>00:00:00</v>
          </cell>
          <cell r="G88" t="str">
            <v>00:00:00</v>
          </cell>
          <cell r="H88" t="str">
            <v>00:08:54</v>
          </cell>
          <cell r="I88" t="str">
            <v>01:19:08</v>
          </cell>
        </row>
        <row r="89">
          <cell r="A89" t="str">
            <v>Hyd_Rajendra Kumar (1008599)</v>
          </cell>
          <cell r="B89" t="str">
            <v>00:41:03</v>
          </cell>
          <cell r="C89" t="str">
            <v>00:18:31</v>
          </cell>
          <cell r="D89" t="str">
            <v>00:00:00</v>
          </cell>
          <cell r="E89" t="str">
            <v>00:51:05</v>
          </cell>
          <cell r="F89" t="str">
            <v>00:00:00</v>
          </cell>
          <cell r="G89" t="str">
            <v>00:00:00</v>
          </cell>
          <cell r="H89" t="str">
            <v>00:40:02</v>
          </cell>
          <cell r="I89" t="str">
            <v>02:34:16</v>
          </cell>
        </row>
        <row r="90">
          <cell r="A90" t="str">
            <v>Hyd_Rajendra Prasad (1008600)</v>
          </cell>
          <cell r="B90" t="str">
            <v>00:39:47</v>
          </cell>
          <cell r="C90" t="str">
            <v>00:15:10</v>
          </cell>
          <cell r="D90" t="str">
            <v>00:00:00</v>
          </cell>
          <cell r="E90" t="str">
            <v>03:11:33</v>
          </cell>
          <cell r="F90" t="str">
            <v>02:38:03</v>
          </cell>
          <cell r="G90" t="str">
            <v>00:00:00</v>
          </cell>
          <cell r="H90" t="str">
            <v>00:22:18</v>
          </cell>
          <cell r="I90" t="str">
            <v>07:08:19</v>
          </cell>
        </row>
        <row r="91">
          <cell r="A91" t="str">
            <v>Hyd_Rajesh Kumar (1008601)</v>
          </cell>
          <cell r="B91" t="str">
            <v>00:39:36</v>
          </cell>
          <cell r="C91" t="str">
            <v>00:29:57</v>
          </cell>
          <cell r="D91" t="str">
            <v>00:00:00</v>
          </cell>
          <cell r="E91" t="str">
            <v>00:00:00</v>
          </cell>
          <cell r="F91" t="str">
            <v>00:00:00</v>
          </cell>
          <cell r="G91" t="str">
            <v>00:00:00</v>
          </cell>
          <cell r="H91" t="str">
            <v>00:01:27</v>
          </cell>
          <cell r="I91" t="str">
            <v>01:12:04</v>
          </cell>
        </row>
        <row r="92">
          <cell r="A92" t="str">
            <v>Hyd_Rajesh Kumar (1008602)</v>
          </cell>
          <cell r="B92" t="str">
            <v>00:39:59</v>
          </cell>
          <cell r="C92" t="str">
            <v>00:29:59</v>
          </cell>
          <cell r="D92" t="str">
            <v>00:00:00</v>
          </cell>
          <cell r="E92" t="str">
            <v>00:52:20</v>
          </cell>
          <cell r="F92" t="str">
            <v>00:00:00</v>
          </cell>
          <cell r="G92" t="str">
            <v>00:00:00</v>
          </cell>
          <cell r="H92" t="str">
            <v>00:00:00</v>
          </cell>
          <cell r="I92" t="str">
            <v>02:06:35</v>
          </cell>
        </row>
        <row r="93">
          <cell r="A93" t="str">
            <v>Hyd_Rajesh Sharma (1008603)</v>
          </cell>
          <cell r="B93" t="str">
            <v>00:00:00</v>
          </cell>
          <cell r="C93" t="str">
            <v>00:15:03</v>
          </cell>
          <cell r="D93" t="str">
            <v>00:00:00</v>
          </cell>
          <cell r="E93" t="str">
            <v>00:00:00</v>
          </cell>
          <cell r="F93" t="str">
            <v>00:00:02</v>
          </cell>
          <cell r="G93" t="str">
            <v>00:08:32</v>
          </cell>
          <cell r="H93" t="str">
            <v>00:00:00</v>
          </cell>
          <cell r="I93" t="str">
            <v>00:24:27</v>
          </cell>
        </row>
        <row r="94">
          <cell r="A94" t="str">
            <v>Hyd_Raji Abraham (1008604)</v>
          </cell>
          <cell r="B94" t="str">
            <v>00:39:46</v>
          </cell>
          <cell r="C94" t="str">
            <v>00:29:34</v>
          </cell>
          <cell r="D94" t="str">
            <v>00:00:00</v>
          </cell>
          <cell r="E94" t="str">
            <v>00:00:00</v>
          </cell>
          <cell r="F94" t="str">
            <v>00:00:00</v>
          </cell>
          <cell r="G94" t="str">
            <v>00:00:00</v>
          </cell>
          <cell r="H94" t="str">
            <v>00:00:00</v>
          </cell>
          <cell r="I94" t="str">
            <v>01:09:28</v>
          </cell>
        </row>
        <row r="95">
          <cell r="A95" t="str">
            <v>Hyd_Rajshree Dhabekar (1008605)</v>
          </cell>
          <cell r="B95" t="str">
            <v>00:40:05</v>
          </cell>
          <cell r="C95" t="str">
            <v>00:27:28</v>
          </cell>
          <cell r="D95" t="str">
            <v>00:00:00</v>
          </cell>
          <cell r="E95" t="str">
            <v>00:00:00</v>
          </cell>
          <cell r="F95" t="str">
            <v>02:37:19</v>
          </cell>
          <cell r="G95" t="str">
            <v>00:00:00</v>
          </cell>
          <cell r="H95" t="str">
            <v>04:29:57</v>
          </cell>
          <cell r="I95" t="str">
            <v>08:15:09</v>
          </cell>
        </row>
        <row r="96">
          <cell r="A96" t="str">
            <v>Hyd_Rakhi Jodhani (1008606)</v>
          </cell>
          <cell r="B96" t="str">
            <v>00:39:17</v>
          </cell>
          <cell r="C96" t="str">
            <v>00:17:15</v>
          </cell>
          <cell r="D96" t="str">
            <v>00:00:00</v>
          </cell>
          <cell r="E96" t="str">
            <v>00:00:00</v>
          </cell>
          <cell r="F96" t="str">
            <v>02:37:45</v>
          </cell>
          <cell r="G96" t="str">
            <v>00:00:00</v>
          </cell>
          <cell r="H96" t="str">
            <v>03:05:19</v>
          </cell>
          <cell r="I96" t="str">
            <v>06:39:44</v>
          </cell>
        </row>
        <row r="97">
          <cell r="A97" t="str">
            <v>Hyd_Ramji Prasad (1008607)</v>
          </cell>
          <cell r="B97" t="str">
            <v>00:39:33</v>
          </cell>
          <cell r="C97" t="str">
            <v>00:29:13</v>
          </cell>
          <cell r="D97" t="str">
            <v>00:00:00</v>
          </cell>
          <cell r="E97" t="str">
            <v>00:00:00</v>
          </cell>
          <cell r="F97" t="str">
            <v>00:00:00</v>
          </cell>
          <cell r="G97" t="str">
            <v>00:03:52</v>
          </cell>
          <cell r="H97" t="str">
            <v>00:00:00</v>
          </cell>
          <cell r="I97" t="str">
            <v>01:13:46</v>
          </cell>
        </row>
        <row r="98">
          <cell r="A98" t="str">
            <v>Del_Rashid (1008608)</v>
          </cell>
          <cell r="B98" t="str">
            <v>00:39:52</v>
          </cell>
          <cell r="C98" t="str">
            <v>00:15:13</v>
          </cell>
          <cell r="D98" t="str">
            <v>00:00:00</v>
          </cell>
          <cell r="E98" t="str">
            <v>00:00:00</v>
          </cell>
          <cell r="F98" t="str">
            <v>00:00:00</v>
          </cell>
          <cell r="G98" t="str">
            <v>00:00:00</v>
          </cell>
          <cell r="H98" t="str">
            <v>04:49:55</v>
          </cell>
          <cell r="I98" t="str">
            <v>05:45:13</v>
          </cell>
        </row>
        <row r="99">
          <cell r="A99" t="str">
            <v>Del_Rashmi Gajbe (1008609)</v>
          </cell>
          <cell r="B99" t="str">
            <v>00:37:12</v>
          </cell>
          <cell r="C99" t="str">
            <v>00:28:12</v>
          </cell>
          <cell r="D99" t="str">
            <v>00:00:00</v>
          </cell>
          <cell r="E99" t="str">
            <v>00:57:50</v>
          </cell>
          <cell r="F99" t="str">
            <v>00:00:00</v>
          </cell>
          <cell r="G99" t="str">
            <v>00:00:00</v>
          </cell>
          <cell r="H99" t="str">
            <v>00:00:00</v>
          </cell>
          <cell r="I99" t="str">
            <v>02:04:58</v>
          </cell>
        </row>
        <row r="100">
          <cell r="A100" t="str">
            <v>Del_Ravi Kumar (1008610)</v>
          </cell>
          <cell r="B100" t="str">
            <v>00:39:42</v>
          </cell>
          <cell r="C100" t="str">
            <v>00:29:46</v>
          </cell>
          <cell r="D100" t="str">
            <v>00:00:00</v>
          </cell>
          <cell r="E100" t="str">
            <v>00:00:00</v>
          </cell>
          <cell r="F100" t="str">
            <v>00:00:00</v>
          </cell>
          <cell r="G100" t="str">
            <v>00:00:00</v>
          </cell>
          <cell r="H100" t="str">
            <v>00:00:00</v>
          </cell>
          <cell r="I100" t="str">
            <v>01:11:14</v>
          </cell>
        </row>
        <row r="101">
          <cell r="A101" t="str">
            <v>Del_Ravinder Kaur (1008611)</v>
          </cell>
          <cell r="B101" t="str">
            <v>00:38:25</v>
          </cell>
          <cell r="C101" t="str">
            <v>00:30:57</v>
          </cell>
          <cell r="D101" t="str">
            <v>00:00:00</v>
          </cell>
          <cell r="E101" t="str">
            <v>00:00:00</v>
          </cell>
          <cell r="F101" t="str">
            <v>00:00:00</v>
          </cell>
          <cell r="G101" t="str">
            <v>00:00:00</v>
          </cell>
          <cell r="H101" t="str">
            <v>00:00:00</v>
          </cell>
          <cell r="I101" t="str">
            <v>01:09:28</v>
          </cell>
        </row>
        <row r="102">
          <cell r="A102" t="str">
            <v>Del_Rekha Agarwal (1008612)</v>
          </cell>
          <cell r="B102" t="str">
            <v>00:21:26</v>
          </cell>
          <cell r="C102" t="str">
            <v>00:48:36</v>
          </cell>
          <cell r="D102" t="str">
            <v>00:00:00</v>
          </cell>
          <cell r="E102" t="str">
            <v>00:53:33</v>
          </cell>
          <cell r="F102" t="str">
            <v>00:00:00</v>
          </cell>
          <cell r="G102" t="str">
            <v>00:00:00</v>
          </cell>
          <cell r="H102" t="str">
            <v>00:31:25</v>
          </cell>
          <cell r="I102" t="str">
            <v>02:41:42</v>
          </cell>
        </row>
        <row r="103">
          <cell r="A103" t="str">
            <v>Del_Rekha Gupta (1008613)</v>
          </cell>
          <cell r="B103" t="str">
            <v>00:39:54</v>
          </cell>
          <cell r="C103" t="str">
            <v>00:29:13</v>
          </cell>
          <cell r="D103" t="str">
            <v>00:00:00</v>
          </cell>
          <cell r="E103" t="str">
            <v>00:00:00</v>
          </cell>
          <cell r="F103" t="str">
            <v>00:00:00</v>
          </cell>
          <cell r="G103" t="str">
            <v>00:00:00</v>
          </cell>
          <cell r="H103" t="str">
            <v>00:41:04</v>
          </cell>
          <cell r="I103" t="str">
            <v>01:50:37</v>
          </cell>
        </row>
        <row r="104">
          <cell r="A104" t="str">
            <v>Del_Rekha Jain  (1008614)</v>
          </cell>
          <cell r="B104" t="str">
            <v>00:37:35</v>
          </cell>
          <cell r="C104" t="str">
            <v>00:38:20</v>
          </cell>
          <cell r="D104" t="str">
            <v>00:00:00</v>
          </cell>
          <cell r="E104" t="str">
            <v>00:00:00</v>
          </cell>
          <cell r="F104" t="str">
            <v>00:00:00</v>
          </cell>
          <cell r="G104" t="str">
            <v>00:00:00</v>
          </cell>
          <cell r="H104" t="str">
            <v>00:19:57</v>
          </cell>
          <cell r="I104" t="str">
            <v>01:36:57</v>
          </cell>
        </row>
        <row r="105">
          <cell r="A105" t="str">
            <v>Del_Renu Pratap (1008615)</v>
          </cell>
          <cell r="B105" t="str">
            <v>00:38:05</v>
          </cell>
          <cell r="C105" t="str">
            <v>00:30:03</v>
          </cell>
          <cell r="D105" t="str">
            <v>01:18:15</v>
          </cell>
          <cell r="E105" t="str">
            <v>00:00:00</v>
          </cell>
          <cell r="F105" t="str">
            <v>02:37:00</v>
          </cell>
          <cell r="G105" t="str">
            <v>00:00:00</v>
          </cell>
          <cell r="H105" t="str">
            <v>00:03:35</v>
          </cell>
          <cell r="I105" t="str">
            <v>05:07:55</v>
          </cell>
        </row>
        <row r="106">
          <cell r="A106" t="str">
            <v>Del_Ritu Bhatnagar (1008616)</v>
          </cell>
          <cell r="B106" t="str">
            <v>00:42:29</v>
          </cell>
          <cell r="C106" t="str">
            <v>00:29:37</v>
          </cell>
          <cell r="D106" t="str">
            <v>00:00:00</v>
          </cell>
          <cell r="E106" t="str">
            <v>00:00:00</v>
          </cell>
          <cell r="F106" t="str">
            <v>00:00:00</v>
          </cell>
          <cell r="G106" t="str">
            <v>00:00:00</v>
          </cell>
          <cell r="H106" t="str">
            <v>00:00:00</v>
          </cell>
          <cell r="I106" t="str">
            <v>01:13:20</v>
          </cell>
        </row>
        <row r="107">
          <cell r="A107" t="str">
            <v>Del_Rohit Nishchal (1008617)</v>
          </cell>
          <cell r="B107" t="str">
            <v>00:39:58</v>
          </cell>
          <cell r="C107" t="str">
            <v>00:29:27</v>
          </cell>
          <cell r="D107" t="str">
            <v>00:00:00</v>
          </cell>
          <cell r="E107" t="str">
            <v>00:00:00</v>
          </cell>
          <cell r="F107" t="str">
            <v>00:00:00</v>
          </cell>
          <cell r="G107" t="str">
            <v>00:00:00</v>
          </cell>
          <cell r="H107" t="str">
            <v>07:06:42</v>
          </cell>
          <cell r="I107" t="str">
            <v>08:17:00</v>
          </cell>
        </row>
        <row r="108">
          <cell r="A108" t="str">
            <v>Del_Roli Bhatnagar (1008618)</v>
          </cell>
          <cell r="B108" t="str">
            <v>00:39:45</v>
          </cell>
          <cell r="C108" t="str">
            <v>00:26:41</v>
          </cell>
          <cell r="D108" t="str">
            <v>01:03:42</v>
          </cell>
          <cell r="E108" t="str">
            <v>00:00:00</v>
          </cell>
          <cell r="F108" t="str">
            <v>00:00:00</v>
          </cell>
          <cell r="G108" t="str">
            <v>00:00:00</v>
          </cell>
          <cell r="H108" t="str">
            <v>00:00:00</v>
          </cell>
          <cell r="I108" t="str">
            <v>02:10:16</v>
          </cell>
        </row>
        <row r="109">
          <cell r="A109" t="str">
            <v>Del_Roma Rastogi (1008619)</v>
          </cell>
          <cell r="B109" t="str">
            <v>00:28:00</v>
          </cell>
          <cell r="C109" t="str">
            <v>00:25:27</v>
          </cell>
          <cell r="D109" t="str">
            <v>00:00:00</v>
          </cell>
          <cell r="E109" t="str">
            <v>00:00:00</v>
          </cell>
          <cell r="F109" t="str">
            <v>00:00:00</v>
          </cell>
          <cell r="G109" t="str">
            <v>00:00:00</v>
          </cell>
          <cell r="H109" t="str">
            <v>00:00:00</v>
          </cell>
          <cell r="I109" t="str">
            <v>00:53:47</v>
          </cell>
        </row>
        <row r="110">
          <cell r="A110" t="str">
            <v>Del_Roohi Haider (1008620)</v>
          </cell>
          <cell r="B110" t="str">
            <v>00:39:10</v>
          </cell>
          <cell r="C110" t="str">
            <v>00:29:57</v>
          </cell>
          <cell r="D110" t="str">
            <v>00:00:00</v>
          </cell>
          <cell r="E110" t="str">
            <v>00:00:00</v>
          </cell>
          <cell r="F110" t="str">
            <v>00:00:00</v>
          </cell>
          <cell r="G110" t="str">
            <v>00:00:00</v>
          </cell>
          <cell r="H110" t="str">
            <v>00:00:00</v>
          </cell>
          <cell r="I110" t="str">
            <v>01:09:24</v>
          </cell>
        </row>
        <row r="111">
          <cell r="A111" t="str">
            <v>Del_Sajid Naqvi (1008621)</v>
          </cell>
          <cell r="B111" t="str">
            <v>00:40:48</v>
          </cell>
          <cell r="C111" t="str">
            <v>00:27:41</v>
          </cell>
          <cell r="D111" t="str">
            <v>00:00:00</v>
          </cell>
          <cell r="E111" t="str">
            <v>00:00:00</v>
          </cell>
          <cell r="F111" t="str">
            <v>00:00:00</v>
          </cell>
          <cell r="G111" t="str">
            <v>00:00:00</v>
          </cell>
          <cell r="H111" t="str">
            <v>00:00:00</v>
          </cell>
          <cell r="I111" t="str">
            <v>01:08:40</v>
          </cell>
        </row>
        <row r="112">
          <cell r="A112" t="str">
            <v>Del_Salim (1008622)</v>
          </cell>
          <cell r="B112" t="str">
            <v>00:39:49</v>
          </cell>
          <cell r="C112" t="str">
            <v>00:29:18</v>
          </cell>
          <cell r="D112" t="str">
            <v>00:00:00</v>
          </cell>
          <cell r="E112" t="str">
            <v>00:00:00</v>
          </cell>
          <cell r="F112" t="str">
            <v>00:00:00</v>
          </cell>
          <cell r="G112" t="str">
            <v>00:00:00</v>
          </cell>
          <cell r="H112" t="str">
            <v>00:48:57</v>
          </cell>
          <cell r="I112" t="str">
            <v>01:59:29</v>
          </cell>
        </row>
        <row r="113">
          <cell r="A113" t="str">
            <v>Del_Sanjay Hire (1008623)</v>
          </cell>
          <cell r="B113" t="str">
            <v>00:39:16</v>
          </cell>
          <cell r="C113" t="str">
            <v>00:29:44</v>
          </cell>
          <cell r="D113" t="str">
            <v>00:00:00</v>
          </cell>
          <cell r="E113" t="str">
            <v>00:00:00</v>
          </cell>
          <cell r="F113" t="str">
            <v>00:00:00</v>
          </cell>
          <cell r="G113" t="str">
            <v>00:00:00</v>
          </cell>
          <cell r="H113" t="str">
            <v>00:00:00</v>
          </cell>
          <cell r="I113" t="str">
            <v>01:09:43</v>
          </cell>
        </row>
        <row r="114">
          <cell r="A114" t="str">
            <v>Del_Sanjiv Subherwal (1008624)</v>
          </cell>
          <cell r="B114" t="str">
            <v>00:40:08</v>
          </cell>
          <cell r="C114" t="str">
            <v>00:29:42</v>
          </cell>
          <cell r="D114" t="str">
            <v>00:00:00</v>
          </cell>
          <cell r="E114" t="str">
            <v>00:00:00</v>
          </cell>
          <cell r="F114" t="str">
            <v>00:00:00</v>
          </cell>
          <cell r="G114" t="str">
            <v>00:00:00</v>
          </cell>
          <cell r="H114" t="str">
            <v>00:00:00</v>
          </cell>
          <cell r="I114" t="str">
            <v>01:10:15</v>
          </cell>
        </row>
        <row r="115">
          <cell r="A115" t="str">
            <v>Del_Sanju Ramdas (1008625)</v>
          </cell>
          <cell r="B115" t="str">
            <v>00:39:47</v>
          </cell>
          <cell r="C115" t="str">
            <v>00:29:56</v>
          </cell>
          <cell r="D115" t="str">
            <v>00:00:00</v>
          </cell>
          <cell r="E115" t="str">
            <v>00:00:00</v>
          </cell>
          <cell r="F115" t="str">
            <v>00:00:00</v>
          </cell>
          <cell r="G115" t="str">
            <v>00:00:02</v>
          </cell>
          <cell r="H115" t="str">
            <v>00:04:02</v>
          </cell>
          <cell r="I115" t="str">
            <v>01:13:56</v>
          </cell>
        </row>
        <row r="116">
          <cell r="A116" t="str">
            <v>Del_Santosh Kumar (1008626)</v>
          </cell>
          <cell r="B116" t="str">
            <v>00:39:52</v>
          </cell>
          <cell r="C116" t="str">
            <v>00:29:34</v>
          </cell>
          <cell r="D116" t="str">
            <v>00:00:00</v>
          </cell>
          <cell r="E116" t="str">
            <v>00:00:00</v>
          </cell>
          <cell r="F116" t="str">
            <v>00:00:00</v>
          </cell>
          <cell r="G116" t="str">
            <v>00:00:00</v>
          </cell>
          <cell r="H116" t="str">
            <v>00:00:00</v>
          </cell>
          <cell r="I116" t="str">
            <v>01:09:48</v>
          </cell>
        </row>
        <row r="117">
          <cell r="A117" t="str">
            <v>Del_Santosh Kumar (1008627)</v>
          </cell>
          <cell r="B117" t="str">
            <v>00:40:01</v>
          </cell>
          <cell r="C117" t="str">
            <v>00:30:20</v>
          </cell>
          <cell r="D117" t="str">
            <v>00:00:00</v>
          </cell>
          <cell r="E117" t="str">
            <v>00:00:00</v>
          </cell>
          <cell r="F117" t="str">
            <v>00:00:00</v>
          </cell>
          <cell r="G117" t="str">
            <v>00:00:00</v>
          </cell>
          <cell r="H117" t="str">
            <v>00:00:00</v>
          </cell>
          <cell r="I117" t="str">
            <v>01:10:58</v>
          </cell>
        </row>
        <row r="118">
          <cell r="A118" t="str">
            <v>Del_Santosh Kumar (1008628)</v>
          </cell>
          <cell r="B118" t="str">
            <v>00:41:46</v>
          </cell>
          <cell r="C118" t="str">
            <v>00:28:09</v>
          </cell>
          <cell r="D118" t="str">
            <v>00:00:00</v>
          </cell>
          <cell r="E118" t="str">
            <v>00:00:00</v>
          </cell>
          <cell r="F118" t="str">
            <v>00:00:00</v>
          </cell>
          <cell r="G118" t="str">
            <v>00:00:00</v>
          </cell>
          <cell r="H118" t="str">
            <v>00:00:00</v>
          </cell>
          <cell r="I118" t="str">
            <v>01:12:01</v>
          </cell>
        </row>
        <row r="119">
          <cell r="A119" t="str">
            <v>Del_Sapna Sharma (1008629)</v>
          </cell>
          <cell r="B119" t="str">
            <v>00:38:46</v>
          </cell>
          <cell r="C119" t="str">
            <v>00:29:34</v>
          </cell>
          <cell r="D119" t="str">
            <v>00:00:00</v>
          </cell>
          <cell r="E119" t="str">
            <v>00:00:00</v>
          </cell>
          <cell r="F119" t="str">
            <v>00:00:00</v>
          </cell>
          <cell r="G119" t="str">
            <v>00:00:00</v>
          </cell>
          <cell r="H119" t="str">
            <v>00:23:22</v>
          </cell>
          <cell r="I119" t="str">
            <v>01:32:37</v>
          </cell>
        </row>
        <row r="120">
          <cell r="A120" t="str">
            <v>Del_Saroj Parita (1008630)</v>
          </cell>
          <cell r="B120" t="str">
            <v>00:42:28</v>
          </cell>
          <cell r="C120" t="str">
            <v>00:25:06</v>
          </cell>
          <cell r="D120" t="str">
            <v>00:00:00</v>
          </cell>
          <cell r="E120" t="str">
            <v>00:00:00</v>
          </cell>
          <cell r="F120" t="str">
            <v>00:00:00</v>
          </cell>
          <cell r="G120" t="str">
            <v>00:00:00</v>
          </cell>
          <cell r="H120" t="str">
            <v>00:31:53</v>
          </cell>
          <cell r="I120" t="str">
            <v>01:45:37</v>
          </cell>
        </row>
        <row r="121">
          <cell r="A121" t="str">
            <v>Del_Shailaja Kamal (1008631)</v>
          </cell>
          <cell r="B121" t="str">
            <v>00:38:40</v>
          </cell>
          <cell r="C121" t="str">
            <v>00:29:05</v>
          </cell>
          <cell r="D121" t="str">
            <v>00:00:00</v>
          </cell>
          <cell r="E121" t="str">
            <v>00:00:00</v>
          </cell>
          <cell r="F121" t="str">
            <v>00:00:00</v>
          </cell>
          <cell r="G121" t="str">
            <v>00:00:00</v>
          </cell>
          <cell r="H121" t="str">
            <v>00:00:00</v>
          </cell>
          <cell r="I121" t="str">
            <v>01:08:46</v>
          </cell>
        </row>
        <row r="122">
          <cell r="A122" t="str">
            <v>Del_Shailendra Barge (1008632)</v>
          </cell>
          <cell r="B122" t="str">
            <v>00:39:40</v>
          </cell>
          <cell r="C122" t="str">
            <v>00:29:48</v>
          </cell>
          <cell r="D122" t="str">
            <v>00:00:00</v>
          </cell>
          <cell r="E122" t="str">
            <v>00:00:00</v>
          </cell>
          <cell r="F122" t="str">
            <v>02:31:25</v>
          </cell>
          <cell r="G122" t="str">
            <v>00:00:00</v>
          </cell>
          <cell r="H122" t="str">
            <v>00:00:00</v>
          </cell>
          <cell r="I122" t="str">
            <v>03:43:06</v>
          </cell>
        </row>
        <row r="123">
          <cell r="A123" t="str">
            <v>Del_Shankar Attendant (1008633)</v>
          </cell>
          <cell r="B123" t="str">
            <v>00:39:24</v>
          </cell>
          <cell r="C123" t="str">
            <v>00:30:43</v>
          </cell>
          <cell r="D123" t="str">
            <v>01:23:39</v>
          </cell>
          <cell r="E123" t="str">
            <v>00:00:00</v>
          </cell>
          <cell r="F123" t="str">
            <v>00:00:00</v>
          </cell>
          <cell r="G123" t="str">
            <v>00:00:00</v>
          </cell>
          <cell r="H123" t="str">
            <v>00:40:50</v>
          </cell>
          <cell r="I123" t="str">
            <v>03:15:05</v>
          </cell>
        </row>
        <row r="124">
          <cell r="A124" t="str">
            <v>Del_Shashikant Tiwari (1008634)</v>
          </cell>
          <cell r="B124" t="str">
            <v>00:39:24</v>
          </cell>
          <cell r="C124" t="str">
            <v>00:29:29</v>
          </cell>
          <cell r="D124" t="str">
            <v>00:00:00</v>
          </cell>
          <cell r="E124" t="str">
            <v>00:00:00</v>
          </cell>
          <cell r="F124" t="str">
            <v>00:00:00</v>
          </cell>
          <cell r="G124" t="str">
            <v>00:00:00</v>
          </cell>
          <cell r="H124" t="str">
            <v>00:00:00</v>
          </cell>
          <cell r="I124" t="str">
            <v>01:09:59</v>
          </cell>
        </row>
        <row r="125">
          <cell r="A125" t="str">
            <v>Del_Sheeba Joseph (1008635)</v>
          </cell>
          <cell r="B125" t="str">
            <v>00:35:25</v>
          </cell>
          <cell r="C125" t="str">
            <v>00:15:56</v>
          </cell>
          <cell r="D125" t="str">
            <v>00:00:00</v>
          </cell>
          <cell r="E125" t="str">
            <v>00:00:00</v>
          </cell>
          <cell r="F125" t="str">
            <v>00:00:00</v>
          </cell>
          <cell r="G125" t="str">
            <v>00:00:00</v>
          </cell>
          <cell r="H125" t="str">
            <v>00:00:00</v>
          </cell>
          <cell r="I125" t="str">
            <v>00:55:39</v>
          </cell>
        </row>
        <row r="126">
          <cell r="A126" t="str">
            <v>Del_Sheena Joseph (1008636)</v>
          </cell>
          <cell r="B126" t="str">
            <v>00:41:10</v>
          </cell>
          <cell r="C126" t="str">
            <v>00:29:22</v>
          </cell>
          <cell r="D126" t="str">
            <v>00:00:00</v>
          </cell>
          <cell r="E126" t="str">
            <v>00:00:00</v>
          </cell>
          <cell r="F126" t="str">
            <v>00:00:00</v>
          </cell>
          <cell r="G126" t="str">
            <v>00:00:00</v>
          </cell>
          <cell r="H126" t="str">
            <v>00:29:57</v>
          </cell>
          <cell r="I126" t="str">
            <v>01:41:30</v>
          </cell>
        </row>
        <row r="127">
          <cell r="A127" t="str">
            <v>Del_Shephali Jain (1008637)</v>
          </cell>
          <cell r="B127" t="str">
            <v>00:39:39</v>
          </cell>
          <cell r="C127" t="str">
            <v>00:14:27</v>
          </cell>
          <cell r="D127" t="str">
            <v>00:00:00</v>
          </cell>
          <cell r="E127" t="str">
            <v>00:00:00</v>
          </cell>
          <cell r="F127" t="str">
            <v>02:28:42</v>
          </cell>
          <cell r="G127" t="str">
            <v>00:00:00</v>
          </cell>
          <cell r="H127" t="str">
            <v>00:00:00</v>
          </cell>
          <cell r="I127" t="str">
            <v>03:23:49</v>
          </cell>
        </row>
        <row r="128">
          <cell r="A128" t="str">
            <v>Del_Shivji Prasad (1008638)</v>
          </cell>
          <cell r="B128" t="str">
            <v>00:39:24</v>
          </cell>
          <cell r="C128" t="str">
            <v>00:31:02</v>
          </cell>
          <cell r="D128" t="str">
            <v>00:00:00</v>
          </cell>
          <cell r="E128" t="str">
            <v>01:05:37</v>
          </cell>
          <cell r="F128" t="str">
            <v>00:00:00</v>
          </cell>
          <cell r="G128" t="str">
            <v>00:00:00</v>
          </cell>
          <cell r="H128" t="str">
            <v>00:00:00</v>
          </cell>
          <cell r="I128" t="str">
            <v>02:17:48</v>
          </cell>
        </row>
        <row r="129">
          <cell r="A129" t="str">
            <v>Del_Shubhanjali Joshi (1008639)</v>
          </cell>
          <cell r="B129" t="str">
            <v>00:39:30</v>
          </cell>
          <cell r="C129" t="str">
            <v>00:29:45</v>
          </cell>
          <cell r="D129" t="str">
            <v>00:00:00</v>
          </cell>
          <cell r="E129" t="str">
            <v>00:00:00</v>
          </cell>
          <cell r="F129" t="str">
            <v>00:00:00</v>
          </cell>
          <cell r="G129" t="str">
            <v>00:09:13</v>
          </cell>
          <cell r="H129" t="str">
            <v>00:00:00</v>
          </cell>
          <cell r="I129" t="str">
            <v>01:19:32</v>
          </cell>
        </row>
        <row r="130">
          <cell r="A130" t="str">
            <v>Del_Shyamal Malakar (1008640)</v>
          </cell>
          <cell r="B130" t="str">
            <v>00:39:28</v>
          </cell>
          <cell r="C130" t="str">
            <v>00:29:21</v>
          </cell>
          <cell r="D130" t="str">
            <v>00:00:00</v>
          </cell>
          <cell r="E130" t="str">
            <v>00:52:47</v>
          </cell>
          <cell r="F130" t="str">
            <v>02:31:52</v>
          </cell>
          <cell r="G130" t="str">
            <v>00:00:00</v>
          </cell>
          <cell r="H130" t="str">
            <v>00:00:00</v>
          </cell>
          <cell r="I130" t="str">
            <v>04:35:37</v>
          </cell>
        </row>
        <row r="131">
          <cell r="A131" t="str">
            <v>Del_Sneh Khan (1008641)</v>
          </cell>
          <cell r="B131" t="str">
            <v>00:39:49</v>
          </cell>
          <cell r="C131" t="str">
            <v>00:29:51</v>
          </cell>
          <cell r="D131" t="str">
            <v>00:00:00</v>
          </cell>
          <cell r="E131" t="str">
            <v>00:00:00</v>
          </cell>
          <cell r="F131" t="str">
            <v>00:00:00</v>
          </cell>
          <cell r="G131" t="str">
            <v>00:00:00</v>
          </cell>
          <cell r="H131" t="str">
            <v>00:00:00</v>
          </cell>
          <cell r="I131" t="str">
            <v>01:09:51</v>
          </cell>
        </row>
        <row r="132">
          <cell r="A132" t="str">
            <v>Del_Sonaram Munda (1008642)</v>
          </cell>
          <cell r="B132" t="str">
            <v>00:39:48</v>
          </cell>
          <cell r="C132" t="str">
            <v>00:29:45</v>
          </cell>
          <cell r="D132" t="str">
            <v>00:00:00</v>
          </cell>
          <cell r="E132" t="str">
            <v>00:00:00</v>
          </cell>
          <cell r="F132" t="str">
            <v>00:00:00</v>
          </cell>
          <cell r="G132" t="str">
            <v>00:00:00</v>
          </cell>
          <cell r="H132" t="str">
            <v>00:47:26</v>
          </cell>
          <cell r="I132" t="str">
            <v>01:57:15</v>
          </cell>
        </row>
        <row r="133">
          <cell r="A133" t="str">
            <v>Del_Sudama Kumar (1008643)</v>
          </cell>
          <cell r="B133" t="str">
            <v>00:39:05</v>
          </cell>
          <cell r="C133" t="str">
            <v>00:15:16</v>
          </cell>
          <cell r="D133" t="str">
            <v>00:00:00</v>
          </cell>
          <cell r="E133" t="str">
            <v>00:00:00</v>
          </cell>
          <cell r="F133" t="str">
            <v>00:00:00</v>
          </cell>
          <cell r="G133" t="str">
            <v>00:00:00</v>
          </cell>
          <cell r="H133" t="str">
            <v>03:40:36</v>
          </cell>
          <cell r="I133" t="str">
            <v>04:36:20</v>
          </cell>
        </row>
        <row r="134">
          <cell r="A134" t="str">
            <v>Del_Sudhir Kumar (1008644)</v>
          </cell>
          <cell r="B134" t="str">
            <v>00:43:27</v>
          </cell>
          <cell r="C134" t="str">
            <v>00:28:35</v>
          </cell>
          <cell r="D134" t="str">
            <v>00:00:00</v>
          </cell>
          <cell r="E134" t="str">
            <v>00:00:00</v>
          </cell>
          <cell r="F134" t="str">
            <v>00:00:00</v>
          </cell>
          <cell r="G134" t="str">
            <v>00:00:00</v>
          </cell>
          <cell r="H134" t="str">
            <v>00:00:00</v>
          </cell>
          <cell r="I134" t="str">
            <v>01:14:24</v>
          </cell>
        </row>
        <row r="135">
          <cell r="A135" t="str">
            <v>Del_Sunil Kumar (1008645)</v>
          </cell>
          <cell r="B135" t="str">
            <v>00:40:09</v>
          </cell>
          <cell r="C135" t="str">
            <v>00:50:33</v>
          </cell>
          <cell r="D135" t="str">
            <v>00:00:02</v>
          </cell>
          <cell r="E135" t="str">
            <v>00:00:00</v>
          </cell>
          <cell r="F135" t="str">
            <v>00:00:00</v>
          </cell>
          <cell r="G135" t="str">
            <v>00:02:33</v>
          </cell>
          <cell r="H135" t="str">
            <v>02:22:56</v>
          </cell>
          <cell r="I135" t="str">
            <v>03:56:57</v>
          </cell>
        </row>
        <row r="136">
          <cell r="A136" t="str">
            <v>Del_Sunil Kumar (1008646)</v>
          </cell>
          <cell r="B136" t="str">
            <v>00:35:18</v>
          </cell>
          <cell r="C136" t="str">
            <v>00:28:46</v>
          </cell>
          <cell r="D136" t="str">
            <v>01:12:29</v>
          </cell>
          <cell r="E136" t="str">
            <v>00:00:00</v>
          </cell>
          <cell r="F136" t="str">
            <v>00:00:00</v>
          </cell>
          <cell r="G136" t="str">
            <v>00:00:00</v>
          </cell>
          <cell r="H136" t="str">
            <v>00:00:00</v>
          </cell>
          <cell r="I136" t="str">
            <v>02:16:51</v>
          </cell>
        </row>
        <row r="137">
          <cell r="A137" t="str">
            <v>Del_Sunita Chawla (1008647)</v>
          </cell>
          <cell r="B137" t="str">
            <v>00:40:03</v>
          </cell>
          <cell r="C137" t="str">
            <v>00:30:37</v>
          </cell>
          <cell r="D137" t="str">
            <v>00:00:00</v>
          </cell>
          <cell r="E137" t="str">
            <v>00:55:51</v>
          </cell>
          <cell r="F137" t="str">
            <v>00:00:00</v>
          </cell>
          <cell r="G137" t="str">
            <v>00:00:00</v>
          </cell>
          <cell r="H137" t="str">
            <v>00:00:00</v>
          </cell>
          <cell r="I137" t="str">
            <v>02:06:43</v>
          </cell>
        </row>
        <row r="138">
          <cell r="A138" t="str">
            <v>Del_Sunita Madnani (1008648)</v>
          </cell>
          <cell r="B138" t="str">
            <v>00:40:15</v>
          </cell>
          <cell r="C138" t="str">
            <v>00:27:30</v>
          </cell>
          <cell r="D138" t="str">
            <v>00:00:00</v>
          </cell>
          <cell r="E138" t="str">
            <v>00:00:00</v>
          </cell>
          <cell r="F138" t="str">
            <v>00:00:00</v>
          </cell>
          <cell r="G138" t="str">
            <v>00:00:00</v>
          </cell>
          <cell r="H138" t="str">
            <v>00:00:00</v>
          </cell>
          <cell r="I138" t="str">
            <v>01:08:15</v>
          </cell>
        </row>
        <row r="139">
          <cell r="A139" t="str">
            <v>Del_Surendra Kumar (1008649)</v>
          </cell>
          <cell r="B139" t="str">
            <v>00:00:00</v>
          </cell>
          <cell r="C139" t="str">
            <v>00:27:48</v>
          </cell>
          <cell r="D139" t="str">
            <v>00:00:00</v>
          </cell>
          <cell r="E139" t="str">
            <v>00:00:00</v>
          </cell>
          <cell r="F139" t="str">
            <v>03:18:17</v>
          </cell>
          <cell r="G139" t="str">
            <v>00:00:00</v>
          </cell>
          <cell r="H139" t="str">
            <v>00:00:00</v>
          </cell>
          <cell r="I139" t="str">
            <v>03:46:52</v>
          </cell>
        </row>
        <row r="140">
          <cell r="A140" t="str">
            <v>Del_Surendranath Thakur (1008650)</v>
          </cell>
          <cell r="B140" t="str">
            <v>00:39:42</v>
          </cell>
          <cell r="C140" t="str">
            <v>00:29:22</v>
          </cell>
          <cell r="D140" t="str">
            <v>01:05:59</v>
          </cell>
          <cell r="E140" t="str">
            <v>00:00:00</v>
          </cell>
          <cell r="F140" t="str">
            <v>00:00:00</v>
          </cell>
          <cell r="G140" t="str">
            <v>00:00:00</v>
          </cell>
          <cell r="H140" t="str">
            <v>00:00:00</v>
          </cell>
          <cell r="I140" t="str">
            <v>02:17:05</v>
          </cell>
        </row>
        <row r="141">
          <cell r="A141" t="str">
            <v>Del_Sushma Khandelwal (1008651)</v>
          </cell>
          <cell r="B141" t="str">
            <v>00:40:10</v>
          </cell>
          <cell r="C141" t="str">
            <v>00:30:01</v>
          </cell>
          <cell r="D141" t="str">
            <v>00:00:00</v>
          </cell>
          <cell r="E141" t="str">
            <v>00:00:00</v>
          </cell>
          <cell r="F141" t="str">
            <v>00:00:00</v>
          </cell>
          <cell r="G141" t="str">
            <v>00:00:00</v>
          </cell>
          <cell r="H141" t="str">
            <v>00:00:00</v>
          </cell>
          <cell r="I141" t="str">
            <v>01:10:21</v>
          </cell>
        </row>
        <row r="142">
          <cell r="A142" t="str">
            <v>Del_Swarnlata Borse (1008652)</v>
          </cell>
          <cell r="B142" t="str">
            <v>00:39:22</v>
          </cell>
          <cell r="C142" t="str">
            <v>00:28:37</v>
          </cell>
          <cell r="D142" t="str">
            <v>00:00:00</v>
          </cell>
          <cell r="E142" t="str">
            <v>00:54:22</v>
          </cell>
          <cell r="F142" t="str">
            <v>02:30:10</v>
          </cell>
          <cell r="G142" t="str">
            <v>00:00:00</v>
          </cell>
          <cell r="H142" t="str">
            <v>00:00:00</v>
          </cell>
          <cell r="I142" t="str">
            <v>04:32:37</v>
          </cell>
        </row>
        <row r="143">
          <cell r="A143" t="str">
            <v>Del_Syed Naved (1008653)</v>
          </cell>
          <cell r="B143" t="str">
            <v>00:34:44</v>
          </cell>
          <cell r="C143" t="str">
            <v>00:29:32</v>
          </cell>
          <cell r="D143" t="str">
            <v>00:00:00</v>
          </cell>
          <cell r="E143" t="str">
            <v>00:00:00</v>
          </cell>
          <cell r="F143" t="str">
            <v>00:00:00</v>
          </cell>
          <cell r="G143" t="str">
            <v>00:00:00</v>
          </cell>
          <cell r="H143" t="str">
            <v>00:00:00</v>
          </cell>
          <cell r="I143" t="str">
            <v>01:14:44</v>
          </cell>
        </row>
        <row r="144">
          <cell r="A144" t="str">
            <v>Del_Syed Saqib (1008654)</v>
          </cell>
          <cell r="B144" t="str">
            <v>00:37:49</v>
          </cell>
          <cell r="C144" t="str">
            <v>00:30:51</v>
          </cell>
          <cell r="D144" t="str">
            <v>00:00:00</v>
          </cell>
          <cell r="E144" t="str">
            <v>00:00:00</v>
          </cell>
          <cell r="F144" t="str">
            <v>00:00:00</v>
          </cell>
          <cell r="G144" t="str">
            <v>00:00:00</v>
          </cell>
          <cell r="H144" t="str">
            <v>03:54:15</v>
          </cell>
          <cell r="I144" t="str">
            <v>05:03:34</v>
          </cell>
        </row>
        <row r="145">
          <cell r="A145" t="str">
            <v>Del_Syed Sohail (1008655)</v>
          </cell>
          <cell r="B145" t="str">
            <v>00:39:45</v>
          </cell>
          <cell r="C145" t="str">
            <v>00:32:08</v>
          </cell>
          <cell r="D145" t="str">
            <v>00:00:00</v>
          </cell>
          <cell r="E145" t="str">
            <v>00:00:00</v>
          </cell>
          <cell r="F145" t="str">
            <v>00:00:00</v>
          </cell>
          <cell r="G145" t="str">
            <v>00:00:00</v>
          </cell>
          <cell r="H145" t="str">
            <v>00:00:00</v>
          </cell>
          <cell r="I145" t="str">
            <v>01:12:04</v>
          </cell>
        </row>
        <row r="146">
          <cell r="A146" t="str">
            <v>Del_System Operator (1008656)</v>
          </cell>
          <cell r="B146" t="str">
            <v>00:40:00</v>
          </cell>
          <cell r="C146" t="str">
            <v>00:14:57</v>
          </cell>
          <cell r="D146" t="str">
            <v>00:00:00</v>
          </cell>
          <cell r="E146" t="str">
            <v>00:00:00</v>
          </cell>
          <cell r="F146" t="str">
            <v>00:00:00</v>
          </cell>
          <cell r="G146" t="str">
            <v>00:00:00</v>
          </cell>
          <cell r="H146" t="str">
            <v>00:00:00</v>
          </cell>
          <cell r="I146" t="str">
            <v>00:56:05</v>
          </cell>
        </row>
        <row r="147">
          <cell r="A147" t="str">
            <v>Del_Tahira Qureshi (1008657)</v>
          </cell>
          <cell r="B147" t="str">
            <v>00:43:30</v>
          </cell>
          <cell r="C147" t="str">
            <v>00:22:35</v>
          </cell>
          <cell r="D147" t="str">
            <v>00:00:00</v>
          </cell>
          <cell r="E147" t="str">
            <v>01:06:22</v>
          </cell>
          <cell r="F147" t="str">
            <v>00:00:00</v>
          </cell>
          <cell r="G147" t="str">
            <v>00:00:00</v>
          </cell>
          <cell r="H147" t="str">
            <v>01:47:33</v>
          </cell>
          <cell r="I147" t="str">
            <v>04:02:30</v>
          </cell>
        </row>
        <row r="148">
          <cell r="A148" t="str">
            <v>Del_Tapas Chakraborty (1008658)</v>
          </cell>
          <cell r="B148" t="str">
            <v>00:34:07</v>
          </cell>
          <cell r="C148" t="str">
            <v>00:35:28</v>
          </cell>
          <cell r="D148" t="str">
            <v>00:00:00</v>
          </cell>
          <cell r="E148" t="str">
            <v>00:00:00</v>
          </cell>
          <cell r="F148" t="str">
            <v>00:00:00</v>
          </cell>
          <cell r="G148" t="str">
            <v>00:00:00</v>
          </cell>
          <cell r="H148" t="str">
            <v>00:00:00</v>
          </cell>
          <cell r="I148" t="str">
            <v>01:12:11</v>
          </cell>
        </row>
        <row r="149">
          <cell r="A149" t="str">
            <v>Del_Tariq Akhlaq (1008659)</v>
          </cell>
          <cell r="B149" t="str">
            <v>00:00:00</v>
          </cell>
          <cell r="C149" t="str">
            <v>00:14:54</v>
          </cell>
          <cell r="D149" t="str">
            <v>00:00:00</v>
          </cell>
          <cell r="E149" t="str">
            <v>00:00:00</v>
          </cell>
          <cell r="F149" t="str">
            <v>00:00:00</v>
          </cell>
          <cell r="G149" t="str">
            <v>00:00:00</v>
          </cell>
          <cell r="H149" t="str">
            <v>00:00:00</v>
          </cell>
          <cell r="I149" t="str">
            <v>00:15:03</v>
          </cell>
        </row>
        <row r="150">
          <cell r="A150" t="str">
            <v>Del_Tasneem Khan (1008660)</v>
          </cell>
          <cell r="B150" t="str">
            <v>00:40:06</v>
          </cell>
          <cell r="C150" t="str">
            <v>00:29:10</v>
          </cell>
          <cell r="D150" t="str">
            <v>01:06:50</v>
          </cell>
          <cell r="E150" t="str">
            <v>00:00:00</v>
          </cell>
          <cell r="F150" t="str">
            <v>00:00:00</v>
          </cell>
          <cell r="G150" t="str">
            <v>00:00:00</v>
          </cell>
          <cell r="H150" t="str">
            <v>00:00:00</v>
          </cell>
          <cell r="I150" t="str">
            <v>02:16:51</v>
          </cell>
        </row>
      </sheetData>
      <sheetData sheetId="1">
        <row r="1">
          <cell r="A1" t="str">
            <v>Employee</v>
          </cell>
          <cell r="B1" t="str">
            <v>Total Working Hours</v>
          </cell>
          <cell r="C1" t="str">
            <v xml:space="preserve">Work Efficiency </v>
          </cell>
          <cell r="D1" t="str">
            <v>Attended Calls</v>
          </cell>
          <cell r="E1" t="str">
            <v>Efficiency in Percentage</v>
          </cell>
          <cell r="F1" t="str">
            <v>Active With Cust.</v>
          </cell>
          <cell r="G1" t="str">
            <v>Active Time</v>
          </cell>
          <cell r="H1" t="str">
            <v>Other</v>
          </cell>
          <cell r="I1" t="str">
            <v>Not Working %</v>
          </cell>
          <cell r="J1" t="str">
            <v>Call Keeping</v>
          </cell>
          <cell r="K1" t="str">
            <v>Break During Calls</v>
          </cell>
          <cell r="L1" t="str">
            <v>Non Break %</v>
          </cell>
          <cell r="M1" t="str">
            <v>% Other Work</v>
          </cell>
          <cell r="N1" t="str">
            <v>Long Time</v>
          </cell>
          <cell r="O1" t="str">
            <v>Short Time Holds</v>
          </cell>
          <cell r="P1" t="str">
            <v>Long Call Holds</v>
          </cell>
          <cell r="Q1" t="str">
            <v>No Hold</v>
          </cell>
        </row>
        <row r="2">
          <cell r="A2" t="str">
            <v>Mum_Abdul Hamid (1008512)</v>
          </cell>
          <cell r="B2" t="str">
            <v>08:15:43</v>
          </cell>
          <cell r="C2" t="str">
            <v>04:57:59</v>
          </cell>
          <cell r="D2">
            <v>98</v>
          </cell>
          <cell r="E2">
            <v>0.69541034616880604</v>
          </cell>
          <cell r="F2">
            <v>0.55697138822580095</v>
          </cell>
          <cell r="G2">
            <v>0.57848905624852898</v>
          </cell>
          <cell r="H2">
            <v>1.3448542514205001E-4</v>
          </cell>
          <cell r="I2">
            <v>0.25683354066503</v>
          </cell>
          <cell r="J2">
            <v>2.2492687355007899E-2</v>
          </cell>
          <cell r="K2">
            <v>0</v>
          </cell>
          <cell r="L2">
            <v>0.13858723060888301</v>
          </cell>
          <cell r="M2">
            <v>3.46299969740779E-3</v>
          </cell>
          <cell r="N2">
            <v>2</v>
          </cell>
          <cell r="O2">
            <v>3</v>
          </cell>
          <cell r="P2">
            <v>0</v>
          </cell>
          <cell r="Q2">
            <v>0</v>
          </cell>
        </row>
        <row r="3">
          <cell r="A3" t="str">
            <v>Mum_Afzal Husain (1008513)</v>
          </cell>
          <cell r="B3" t="str">
            <v>08:15:36</v>
          </cell>
          <cell r="C3" t="str">
            <v>04:58:34</v>
          </cell>
          <cell r="D3">
            <v>23</v>
          </cell>
          <cell r="E3">
            <v>0.70127226463104297</v>
          </cell>
          <cell r="F3">
            <v>0.58027306967984904</v>
          </cell>
          <cell r="G3">
            <v>0.58625907990314796</v>
          </cell>
          <cell r="H3">
            <v>3.3629270917406502E-5</v>
          </cell>
          <cell r="I3">
            <v>0.25373284907183202</v>
          </cell>
          <cell r="J3">
            <v>1.6142050040355099E-2</v>
          </cell>
          <cell r="K3">
            <v>0</v>
          </cell>
          <cell r="L3">
            <v>0.14120930858219</v>
          </cell>
          <cell r="M3">
            <v>2.6230831315577101E-3</v>
          </cell>
          <cell r="N3">
            <v>2</v>
          </cell>
          <cell r="O3">
            <v>1</v>
          </cell>
          <cell r="P3">
            <v>0</v>
          </cell>
          <cell r="Q3">
            <v>0</v>
          </cell>
        </row>
        <row r="4">
          <cell r="A4" t="str">
            <v>Mum_Anamika Gupta (1008514)</v>
          </cell>
          <cell r="B4" t="str">
            <v>08:16:57</v>
          </cell>
          <cell r="C4" t="str">
            <v>04:49:35</v>
          </cell>
          <cell r="D4">
            <v>28</v>
          </cell>
          <cell r="E4">
            <v>0.67767853660439203</v>
          </cell>
          <cell r="F4">
            <v>0.51708756749505302</v>
          </cell>
          <cell r="G4">
            <v>0.54036288023610701</v>
          </cell>
          <cell r="H4">
            <v>1.9653217962907098E-2</v>
          </cell>
          <cell r="I4">
            <v>0.26454707046315901</v>
          </cell>
          <cell r="J4">
            <v>2.27051681926418E-2</v>
          </cell>
          <cell r="K4">
            <v>0</v>
          </cell>
          <cell r="L4">
            <v>0.14870711339168899</v>
          </cell>
          <cell r="M4">
            <v>4.0245497534963301E-3</v>
          </cell>
          <cell r="N4">
            <v>6</v>
          </cell>
          <cell r="O4">
            <v>3</v>
          </cell>
          <cell r="P4">
            <v>4</v>
          </cell>
          <cell r="Q4">
            <v>1</v>
          </cell>
        </row>
        <row r="5">
          <cell r="A5" t="str">
            <v>Mum_Anikuttan (1008515)</v>
          </cell>
          <cell r="B5" t="str">
            <v>08:09:56</v>
          </cell>
          <cell r="C5" t="str">
            <v>04:17:32</v>
          </cell>
          <cell r="D5">
            <v>29</v>
          </cell>
          <cell r="E5">
            <v>0.72067534163518499</v>
          </cell>
          <cell r="F5">
            <v>0.47720778337188702</v>
          </cell>
          <cell r="G5">
            <v>0.49802694244114798</v>
          </cell>
          <cell r="H5">
            <v>6.8036467546604999E-5</v>
          </cell>
          <cell r="I5">
            <v>0.18356238944073999</v>
          </cell>
          <cell r="J5">
            <v>2.7554769356374999E-2</v>
          </cell>
          <cell r="K5">
            <v>0</v>
          </cell>
          <cell r="L5">
            <v>0.28378010613688898</v>
          </cell>
          <cell r="M5">
            <v>7.0077561573003103E-3</v>
          </cell>
          <cell r="N5">
            <v>1</v>
          </cell>
          <cell r="O5">
            <v>2</v>
          </cell>
          <cell r="P5">
            <v>0</v>
          </cell>
          <cell r="Q5">
            <v>0</v>
          </cell>
        </row>
        <row r="6">
          <cell r="A6" t="str">
            <v>Mum_Anil Kumar (1008516)</v>
          </cell>
          <cell r="B6" t="str">
            <v>07:20:41</v>
          </cell>
          <cell r="C6" t="str">
            <v>03:19:44</v>
          </cell>
          <cell r="D6">
            <v>93</v>
          </cell>
          <cell r="E6">
            <v>0.77990368345698302</v>
          </cell>
          <cell r="F6">
            <v>0.43288831738587802</v>
          </cell>
          <cell r="G6">
            <v>0.43496842025642002</v>
          </cell>
          <cell r="H6">
            <v>3.7820052191672E-4</v>
          </cell>
          <cell r="I6">
            <v>0.113649256835974</v>
          </cell>
          <cell r="J6">
            <v>1.7888884686660899E-2</v>
          </cell>
          <cell r="K6">
            <v>0</v>
          </cell>
          <cell r="L6">
            <v>0.419726939223176</v>
          </cell>
          <cell r="M6">
            <v>1.3388298475851899E-2</v>
          </cell>
          <cell r="N6">
            <v>0</v>
          </cell>
          <cell r="O6">
            <v>4</v>
          </cell>
          <cell r="P6">
            <v>0</v>
          </cell>
          <cell r="Q6">
            <v>0</v>
          </cell>
        </row>
        <row r="7">
          <cell r="A7" t="str">
            <v>Mum_Anita Dixit (1008517)</v>
          </cell>
          <cell r="B7" t="str">
            <v>05:00:09</v>
          </cell>
          <cell r="C7" t="str">
            <v>03:41:19</v>
          </cell>
          <cell r="D7">
            <v>92</v>
          </cell>
          <cell r="E7">
            <v>0.77595979664582504</v>
          </cell>
          <cell r="F7">
            <v>0.65495030262646503</v>
          </cell>
          <cell r="G7">
            <v>0.65761563662613098</v>
          </cell>
          <cell r="H7">
            <v>8.5512799155977592E-3</v>
          </cell>
          <cell r="I7">
            <v>0.16269642956299599</v>
          </cell>
          <cell r="J7">
            <v>7.1186628907768307E-2</v>
          </cell>
          <cell r="K7">
            <v>0</v>
          </cell>
          <cell r="L7">
            <v>9.0343717030373694E-2</v>
          </cell>
          <cell r="M7">
            <v>9.6063079571325396E-3</v>
          </cell>
          <cell r="N7">
            <v>2</v>
          </cell>
          <cell r="O7">
            <v>8</v>
          </cell>
          <cell r="P7">
            <v>2</v>
          </cell>
          <cell r="Q7">
            <v>0</v>
          </cell>
        </row>
        <row r="8">
          <cell r="A8" t="str">
            <v>Mum_Anita Ghore (1008518)</v>
          </cell>
          <cell r="B8" t="str">
            <v>08:16:38</v>
          </cell>
          <cell r="C8" t="str">
            <v>04:12:46</v>
          </cell>
          <cell r="D8">
            <v>26</v>
          </cell>
          <cell r="E8">
            <v>0.75430219834875201</v>
          </cell>
          <cell r="F8">
            <v>0.49476474931203401</v>
          </cell>
          <cell r="G8">
            <v>0.50073830458419999</v>
          </cell>
          <cell r="H8">
            <v>0</v>
          </cell>
          <cell r="I8">
            <v>0.150547016578294</v>
          </cell>
          <cell r="J8">
            <v>8.1213504262031E-3</v>
          </cell>
          <cell r="K8">
            <v>0</v>
          </cell>
          <cell r="L8">
            <v>0.32559232163232399</v>
          </cell>
          <cell r="M8">
            <v>1.5001006778978501E-2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</row>
        <row r="9">
          <cell r="A9" t="str">
            <v>Mum_Anjali Deoram (1008519)</v>
          </cell>
          <cell r="B9" t="str">
            <v>09:16:31</v>
          </cell>
          <cell r="C9" t="str">
            <v>05:52:08</v>
          </cell>
          <cell r="D9">
            <v>90</v>
          </cell>
          <cell r="E9">
            <v>0.72351208821313595</v>
          </cell>
          <cell r="F9">
            <v>0.55128627474469205</v>
          </cell>
          <cell r="G9">
            <v>0.58183342816926698</v>
          </cell>
          <cell r="H9">
            <v>8.6849749932616602E-3</v>
          </cell>
          <cell r="I9">
            <v>0.22793567128867101</v>
          </cell>
          <cell r="J9">
            <v>4.2226947381030798E-2</v>
          </cell>
          <cell r="K9">
            <v>0</v>
          </cell>
          <cell r="L9">
            <v>0.131472552484202</v>
          </cell>
          <cell r="M9">
            <v>7.8464256835674307E-3</v>
          </cell>
          <cell r="N9">
            <v>0</v>
          </cell>
          <cell r="O9">
            <v>8</v>
          </cell>
          <cell r="P9">
            <v>3</v>
          </cell>
          <cell r="Q9">
            <v>1</v>
          </cell>
        </row>
        <row r="10">
          <cell r="A10" t="str">
            <v>Mum_Anjali Sahay (1008520)</v>
          </cell>
          <cell r="B10" t="str">
            <v>08:13:18</v>
          </cell>
          <cell r="C10" t="str">
            <v>04:52:29</v>
          </cell>
          <cell r="D10">
            <v>89</v>
          </cell>
          <cell r="E10">
            <v>0.68246869409660105</v>
          </cell>
          <cell r="F10">
            <v>0.55206432867085597</v>
          </cell>
          <cell r="G10">
            <v>0.57530914250962895</v>
          </cell>
          <cell r="H10">
            <v>7.0950739914859098E-4</v>
          </cell>
          <cell r="I10">
            <v>0.26559226974795602</v>
          </cell>
          <cell r="J10">
            <v>1.68930333130617E-2</v>
          </cell>
          <cell r="K10">
            <v>0</v>
          </cell>
          <cell r="L10">
            <v>0.135110480437867</v>
          </cell>
          <cell r="M10">
            <v>6.3855665923373203E-3</v>
          </cell>
          <cell r="N10">
            <v>4</v>
          </cell>
          <cell r="O10">
            <v>0</v>
          </cell>
          <cell r="P10">
            <v>0</v>
          </cell>
          <cell r="Q10">
            <v>0</v>
          </cell>
        </row>
        <row r="11">
          <cell r="A11" t="str">
            <v>Mum_Annu Latika (1008521)</v>
          </cell>
          <cell r="B11" t="str">
            <v>08:20:41</v>
          </cell>
          <cell r="C11" t="str">
            <v>04:58:07</v>
          </cell>
          <cell r="D11">
            <v>54</v>
          </cell>
          <cell r="E11">
            <v>0.69192681134192102</v>
          </cell>
          <cell r="F11">
            <v>0.56868945774108703</v>
          </cell>
          <cell r="G11">
            <v>0.58520022635731195</v>
          </cell>
          <cell r="H11">
            <v>1.6643919976032801E-4</v>
          </cell>
          <cell r="I11">
            <v>0.26120968010385798</v>
          </cell>
          <cell r="J11">
            <v>1.0052927665523801E-2</v>
          </cell>
          <cell r="K11">
            <v>0</v>
          </cell>
          <cell r="L11">
            <v>0.13970906427881899</v>
          </cell>
          <cell r="M11">
            <v>3.6616623947272101E-3</v>
          </cell>
          <cell r="N11">
            <v>2</v>
          </cell>
          <cell r="O11">
            <v>0</v>
          </cell>
          <cell r="P11">
            <v>0</v>
          </cell>
          <cell r="Q11">
            <v>0</v>
          </cell>
        </row>
        <row r="12">
          <cell r="A12" t="str">
            <v>Mum_Anoop Narayan (1008522)</v>
          </cell>
          <cell r="B12" t="str">
            <v>08:10:35</v>
          </cell>
          <cell r="C12" t="str">
            <v>04:55:28</v>
          </cell>
          <cell r="D12">
            <v>87</v>
          </cell>
          <cell r="E12">
            <v>0.70101625212542995</v>
          </cell>
          <cell r="F12">
            <v>0.56035332087650802</v>
          </cell>
          <cell r="G12">
            <v>0.56901647698318303</v>
          </cell>
          <cell r="H12">
            <v>1.06675726176321E-2</v>
          </cell>
          <cell r="I12">
            <v>0.24987260064549</v>
          </cell>
          <cell r="J12">
            <v>2.2592152199762201E-2</v>
          </cell>
          <cell r="K12">
            <v>0</v>
          </cell>
          <cell r="L12">
            <v>0.14115848479700999</v>
          </cell>
          <cell r="M12">
            <v>6.6927127569220302E-3</v>
          </cell>
          <cell r="N12">
            <v>2</v>
          </cell>
          <cell r="O12">
            <v>3</v>
          </cell>
          <cell r="P12">
            <v>3</v>
          </cell>
          <cell r="Q12">
            <v>0</v>
          </cell>
        </row>
        <row r="13">
          <cell r="A13" t="str">
            <v>Mum_Anoop Raj (1008523)</v>
          </cell>
          <cell r="B13" t="str">
            <v>08:04:10</v>
          </cell>
          <cell r="C13" t="str">
            <v>03:47:42</v>
          </cell>
          <cell r="D13">
            <v>65</v>
          </cell>
          <cell r="E13">
            <v>0.71237876733757399</v>
          </cell>
          <cell r="F13">
            <v>0.41552495697073999</v>
          </cell>
          <cell r="G13">
            <v>0.42578313253012001</v>
          </cell>
          <cell r="H13">
            <v>0</v>
          </cell>
          <cell r="I13">
            <v>0.146161790017212</v>
          </cell>
          <cell r="J13">
            <v>4.4509466437177299E-2</v>
          </cell>
          <cell r="K13">
            <v>0</v>
          </cell>
          <cell r="L13">
            <v>0.37445783132530103</v>
          </cell>
          <cell r="M13">
            <v>9.08777969018933E-3</v>
          </cell>
          <cell r="N13">
            <v>0</v>
          </cell>
          <cell r="O13">
            <v>8</v>
          </cell>
          <cell r="P13">
            <v>0</v>
          </cell>
          <cell r="Q13">
            <v>0</v>
          </cell>
        </row>
        <row r="14">
          <cell r="A14" t="str">
            <v>Mum_Anubhuti Gupta (1008524)</v>
          </cell>
          <cell r="B14" t="str">
            <v>08:14:38</v>
          </cell>
          <cell r="C14" t="str">
            <v>04:43:40</v>
          </cell>
          <cell r="D14">
            <v>85</v>
          </cell>
          <cell r="E14">
            <v>0.76961338458060102</v>
          </cell>
          <cell r="F14">
            <v>0.50026955994339195</v>
          </cell>
          <cell r="G14">
            <v>0.51627468158231704</v>
          </cell>
          <cell r="H14">
            <v>1.3477997169620599E-4</v>
          </cell>
          <cell r="I14">
            <v>0.16628479008019401</v>
          </cell>
          <cell r="J14">
            <v>5.7079318013343198E-2</v>
          </cell>
          <cell r="K14">
            <v>0</v>
          </cell>
          <cell r="L14">
            <v>0.25611564121571501</v>
          </cell>
          <cell r="M14">
            <v>4.1107891367342803E-3</v>
          </cell>
          <cell r="N14">
            <v>1</v>
          </cell>
          <cell r="O14">
            <v>9</v>
          </cell>
          <cell r="P14">
            <v>0</v>
          </cell>
          <cell r="Q14">
            <v>0</v>
          </cell>
        </row>
        <row r="15">
          <cell r="A15" t="str">
            <v>Mum_Arun Kumar (1008525)</v>
          </cell>
          <cell r="B15" t="str">
            <v>07:59:50</v>
          </cell>
          <cell r="C15" t="str">
            <v>04:40:27</v>
          </cell>
          <cell r="D15">
            <v>65</v>
          </cell>
          <cell r="E15">
            <v>0.68466452374171005</v>
          </cell>
          <cell r="F15">
            <v>0.51396318166029897</v>
          </cell>
          <cell r="G15">
            <v>0.53136505731156702</v>
          </cell>
          <cell r="H15">
            <v>8.7877735324765494E-3</v>
          </cell>
          <cell r="I15">
            <v>0.26231330323028801</v>
          </cell>
          <cell r="J15">
            <v>4.4320944772490399E-2</v>
          </cell>
          <cell r="K15">
            <v>0</v>
          </cell>
          <cell r="L15">
            <v>0.14706495310871801</v>
          </cell>
          <cell r="M15">
            <v>6.1479680444598804E-3</v>
          </cell>
          <cell r="N15">
            <v>1</v>
          </cell>
          <cell r="O15">
            <v>8</v>
          </cell>
          <cell r="P15">
            <v>3</v>
          </cell>
          <cell r="Q15">
            <v>1</v>
          </cell>
        </row>
        <row r="16">
          <cell r="A16" t="str">
            <v>Mum_Ashish Kumar (1008526)</v>
          </cell>
          <cell r="B16" t="str">
            <v>08:16:59</v>
          </cell>
          <cell r="C16" t="str">
            <v>04:57:35</v>
          </cell>
          <cell r="D16">
            <v>83</v>
          </cell>
          <cell r="E16">
            <v>0.69277926512241494</v>
          </cell>
          <cell r="F16">
            <v>0.510580502364264</v>
          </cell>
          <cell r="G16">
            <v>0.53895167510647601</v>
          </cell>
          <cell r="H16">
            <v>2.8069351755592099E-2</v>
          </cell>
          <cell r="I16">
            <v>0.236694724839867</v>
          </cell>
          <cell r="J16">
            <v>3.17582749253831E-2</v>
          </cell>
          <cell r="K16">
            <v>0</v>
          </cell>
          <cell r="L16">
            <v>0.15490123746604501</v>
          </cell>
          <cell r="M16">
            <v>9.6247359066367107E-3</v>
          </cell>
          <cell r="N16">
            <v>2</v>
          </cell>
          <cell r="O16">
            <v>4</v>
          </cell>
          <cell r="P16">
            <v>7</v>
          </cell>
          <cell r="Q16">
            <v>0</v>
          </cell>
        </row>
        <row r="17">
          <cell r="A17" t="str">
            <v>Mum_Ashok Kumar (1008527)</v>
          </cell>
          <cell r="B17" t="str">
            <v>08:17:15</v>
          </cell>
          <cell r="C17" t="str">
            <v>04:10:25</v>
          </cell>
          <cell r="D17">
            <v>82</v>
          </cell>
          <cell r="E17">
            <v>0.707991706719442</v>
          </cell>
          <cell r="F17">
            <v>0.48292274174627098</v>
          </cell>
          <cell r="G17">
            <v>0.48536953242835601</v>
          </cell>
          <cell r="H17">
            <v>2.0110608345902501E-4</v>
          </cell>
          <cell r="I17">
            <v>0.203251215015921</v>
          </cell>
          <cell r="J17">
            <v>1.8032512150159202E-2</v>
          </cell>
          <cell r="K17">
            <v>0</v>
          </cell>
          <cell r="L17">
            <v>0.29026311379252601</v>
          </cell>
          <cell r="M17">
            <v>2.88252052957935E-3</v>
          </cell>
          <cell r="N17">
            <v>2</v>
          </cell>
          <cell r="O17">
            <v>1</v>
          </cell>
          <cell r="P17">
            <v>0</v>
          </cell>
          <cell r="Q17">
            <v>0</v>
          </cell>
        </row>
        <row r="18">
          <cell r="A18" t="str">
            <v>Hyd_Ashok Kumar (1008528)</v>
          </cell>
          <cell r="B18" t="str">
            <v>07:53:01</v>
          </cell>
          <cell r="C18" t="str">
            <v>04:44:12</v>
          </cell>
          <cell r="D18">
            <v>81</v>
          </cell>
          <cell r="E18">
            <v>0.67538022813688203</v>
          </cell>
          <cell r="F18">
            <v>0.57362319861879396</v>
          </cell>
          <cell r="G18">
            <v>0.586131566893344</v>
          </cell>
          <cell r="H18">
            <v>0</v>
          </cell>
          <cell r="I18">
            <v>0.27373947359148698</v>
          </cell>
          <cell r="J18">
            <v>1.4692928367569901E-2</v>
          </cell>
          <cell r="K18">
            <v>0</v>
          </cell>
          <cell r="L18">
            <v>0.11941087347168899</v>
          </cell>
          <cell r="M18">
            <v>6.0251576759099397E-3</v>
          </cell>
          <cell r="N18">
            <v>1</v>
          </cell>
          <cell r="O18">
            <v>1</v>
          </cell>
          <cell r="P18">
            <v>0</v>
          </cell>
          <cell r="Q18">
            <v>1</v>
          </cell>
        </row>
        <row r="19">
          <cell r="A19" t="str">
            <v>Hyd_Ashok Kumar (1008529)</v>
          </cell>
          <cell r="B19" t="str">
            <v>08:16:43</v>
          </cell>
          <cell r="C19" t="str">
            <v>04:58:07</v>
          </cell>
          <cell r="D19">
            <v>80</v>
          </cell>
          <cell r="E19">
            <v>0.69849265854420495</v>
          </cell>
          <cell r="F19">
            <v>0.56430560681810604</v>
          </cell>
          <cell r="G19">
            <v>0.59161829346038997</v>
          </cell>
          <cell r="H19">
            <v>0</v>
          </cell>
          <cell r="I19">
            <v>0.25480656309767502</v>
          </cell>
          <cell r="J19">
            <v>8.5561856188974307E-3</v>
          </cell>
          <cell r="K19">
            <v>0</v>
          </cell>
          <cell r="L19">
            <v>0.14116028587726101</v>
          </cell>
          <cell r="M19">
            <v>3.85867194577727E-3</v>
          </cell>
          <cell r="N19">
            <v>2</v>
          </cell>
          <cell r="O19">
            <v>0</v>
          </cell>
          <cell r="P19">
            <v>0</v>
          </cell>
          <cell r="Q19">
            <v>0</v>
          </cell>
        </row>
        <row r="20">
          <cell r="A20" t="str">
            <v>Hyd_Ashok Kumar (1008530)</v>
          </cell>
          <cell r="B20" t="str">
            <v>08:21:16</v>
          </cell>
          <cell r="C20" t="str">
            <v>04:23:03</v>
          </cell>
          <cell r="D20">
            <v>79</v>
          </cell>
          <cell r="E20">
            <v>0.76545904263058295</v>
          </cell>
          <cell r="F20">
            <v>0.46974331693044302</v>
          </cell>
          <cell r="G20">
            <v>0.47862082723766403</v>
          </cell>
          <cell r="H20">
            <v>2.1379172762335402E-2</v>
          </cell>
          <cell r="I20">
            <v>0.14938821651815401</v>
          </cell>
          <cell r="J20">
            <v>2.4770581194307799E-2</v>
          </cell>
          <cell r="K20">
            <v>0</v>
          </cell>
          <cell r="L20">
            <v>0.31952387285543299</v>
          </cell>
          <cell r="M20">
            <v>6.3173294321053298E-3</v>
          </cell>
          <cell r="N20">
            <v>6</v>
          </cell>
          <cell r="O20">
            <v>5</v>
          </cell>
          <cell r="P20">
            <v>3</v>
          </cell>
          <cell r="Q20">
            <v>0</v>
          </cell>
        </row>
        <row r="21">
          <cell r="A21" t="str">
            <v>Hyd_Ashok Mahto (1008531)</v>
          </cell>
          <cell r="B21" t="str">
            <v>08:17:52</v>
          </cell>
          <cell r="C21" t="str">
            <v>04:58:14</v>
          </cell>
          <cell r="D21">
            <v>78</v>
          </cell>
          <cell r="E21">
            <v>0.69862960215515602</v>
          </cell>
          <cell r="F21">
            <v>0.57495313336904097</v>
          </cell>
          <cell r="G21">
            <v>0.58205008034279604</v>
          </cell>
          <cell r="H21">
            <v>3.84975897161221E-3</v>
          </cell>
          <cell r="I21">
            <v>0.24769014461703301</v>
          </cell>
          <cell r="J21">
            <v>1.3122656668452099E-2</v>
          </cell>
          <cell r="K21">
            <v>0</v>
          </cell>
          <cell r="L21">
            <v>0.14963845741831799</v>
          </cell>
          <cell r="M21">
            <v>3.64890198178897E-3</v>
          </cell>
          <cell r="N21">
            <v>4</v>
          </cell>
          <cell r="O21">
            <v>1</v>
          </cell>
          <cell r="P21">
            <v>1</v>
          </cell>
          <cell r="Q21">
            <v>0</v>
          </cell>
        </row>
        <row r="22">
          <cell r="A22" t="str">
            <v>Hyd_Atul Kumar (1008532)</v>
          </cell>
          <cell r="B22" t="str">
            <v>08:13:41</v>
          </cell>
          <cell r="C22" t="str">
            <v>04:53:40</v>
          </cell>
          <cell r="D22">
            <v>77</v>
          </cell>
          <cell r="E22">
            <v>0.68750243864372396</v>
          </cell>
          <cell r="F22">
            <v>0.57945376590932096</v>
          </cell>
          <cell r="G22">
            <v>0.58620573241956697</v>
          </cell>
          <cell r="H22">
            <v>1.01279497653692E-4</v>
          </cell>
          <cell r="I22">
            <v>0.255865770905776</v>
          </cell>
          <cell r="J22">
            <v>8.5412376354613295E-3</v>
          </cell>
          <cell r="K22">
            <v>0</v>
          </cell>
          <cell r="L22">
            <v>0.13568076702339499</v>
          </cell>
          <cell r="M22">
            <v>1.36052125181459E-2</v>
          </cell>
          <cell r="N22">
            <v>2</v>
          </cell>
          <cell r="O22">
            <v>0</v>
          </cell>
          <cell r="P22">
            <v>0</v>
          </cell>
          <cell r="Q22">
            <v>0</v>
          </cell>
        </row>
        <row r="23">
          <cell r="A23" t="str">
            <v>Hyd_Azam (1008533)</v>
          </cell>
          <cell r="B23" t="str">
            <v>08:17:34</v>
          </cell>
          <cell r="C23" t="str">
            <v>04:59:50</v>
          </cell>
          <cell r="D23">
            <v>76</v>
          </cell>
          <cell r="E23">
            <v>0.69910231997823802</v>
          </cell>
          <cell r="F23">
            <v>0.588296375695049</v>
          </cell>
          <cell r="G23">
            <v>0.58993769679105001</v>
          </cell>
          <cell r="H23">
            <v>1.0048904669391E-4</v>
          </cell>
          <cell r="I23">
            <v>0.25467274067126699</v>
          </cell>
          <cell r="J23">
            <v>1.25611308367388E-2</v>
          </cell>
          <cell r="K23">
            <v>0</v>
          </cell>
          <cell r="L23">
            <v>0.140249212835801</v>
          </cell>
          <cell r="M23">
            <v>2.47872981844979E-3</v>
          </cell>
          <cell r="N23">
            <v>3</v>
          </cell>
          <cell r="O23">
            <v>1</v>
          </cell>
          <cell r="P23">
            <v>0</v>
          </cell>
          <cell r="Q23">
            <v>0</v>
          </cell>
        </row>
        <row r="24">
          <cell r="A24" t="str">
            <v>Hyd_Bhagwat Singh (1008534)</v>
          </cell>
          <cell r="B24" t="str">
            <v>07:41:44</v>
          </cell>
          <cell r="C24" t="str">
            <v>04:08:57</v>
          </cell>
          <cell r="D24">
            <v>75</v>
          </cell>
          <cell r="E24">
            <v>0.74890950112810195</v>
          </cell>
          <cell r="F24">
            <v>0.46267686976609901</v>
          </cell>
          <cell r="G24">
            <v>0.46527577245163099</v>
          </cell>
          <cell r="H24">
            <v>4.4397920877851599E-3</v>
          </cell>
          <cell r="I24">
            <v>0.17622004042737499</v>
          </cell>
          <cell r="J24">
            <v>6.9448455096736902E-2</v>
          </cell>
          <cell r="K24">
            <v>0</v>
          </cell>
          <cell r="L24">
            <v>0.28219751660409997</v>
          </cell>
          <cell r="M24">
            <v>2.41842333237078E-3</v>
          </cell>
          <cell r="N24">
            <v>1</v>
          </cell>
          <cell r="O24">
            <v>7</v>
          </cell>
          <cell r="P24">
            <v>1</v>
          </cell>
          <cell r="Q24">
            <v>0</v>
          </cell>
        </row>
        <row r="25">
          <cell r="A25" t="str">
            <v>Hyd_Bindu Nair (1008535)</v>
          </cell>
          <cell r="B25" t="str">
            <v>08:10:04</v>
          </cell>
          <cell r="C25" t="str">
            <v>04:14:05</v>
          </cell>
          <cell r="D25">
            <v>74</v>
          </cell>
          <cell r="E25">
            <v>0.70775301764159704</v>
          </cell>
          <cell r="F25">
            <v>0.478030199972793</v>
          </cell>
          <cell r="G25">
            <v>0.49663311114134101</v>
          </cell>
          <cell r="H25">
            <v>1.1563052645898501E-3</v>
          </cell>
          <cell r="I25">
            <v>0.21000544143653899</v>
          </cell>
          <cell r="J25">
            <v>2.0677458849136202E-2</v>
          </cell>
          <cell r="K25">
            <v>0</v>
          </cell>
          <cell r="L25">
            <v>0.26788872262277202</v>
          </cell>
          <cell r="M25">
            <v>3.6389606856210002E-3</v>
          </cell>
          <cell r="N25">
            <v>1</v>
          </cell>
          <cell r="O25">
            <v>2</v>
          </cell>
          <cell r="P25">
            <v>0</v>
          </cell>
          <cell r="Q25">
            <v>1</v>
          </cell>
        </row>
        <row r="26">
          <cell r="A26" t="str">
            <v>Hyd_Daleep Singh (1008536)</v>
          </cell>
          <cell r="B26" t="str">
            <v>08:14:20</v>
          </cell>
          <cell r="C26" t="str">
            <v>05:26:56</v>
          </cell>
          <cell r="D26">
            <v>73</v>
          </cell>
          <cell r="E26">
            <v>0.76297160637884098</v>
          </cell>
          <cell r="F26">
            <v>0.59983142279163904</v>
          </cell>
          <cell r="G26">
            <v>0.60182063385030304</v>
          </cell>
          <cell r="H26">
            <v>1.49359406608227E-2</v>
          </cell>
          <cell r="I26">
            <v>0.17107215104517901</v>
          </cell>
          <cell r="J26">
            <v>4.46055293324343E-2</v>
          </cell>
          <cell r="K26">
            <v>0</v>
          </cell>
          <cell r="L26">
            <v>0.147471341874578</v>
          </cell>
          <cell r="M26">
            <v>2.00944032366824E-2</v>
          </cell>
          <cell r="N26">
            <v>1</v>
          </cell>
          <cell r="O26">
            <v>4</v>
          </cell>
          <cell r="P26">
            <v>1</v>
          </cell>
          <cell r="Q26">
            <v>1</v>
          </cell>
        </row>
        <row r="27">
          <cell r="A27" t="str">
            <v>Hyd_Deepak Kumar (1008537)</v>
          </cell>
          <cell r="B27" t="str">
            <v>07:35:57</v>
          </cell>
          <cell r="C27" t="str">
            <v>05:05:16</v>
          </cell>
          <cell r="D27">
            <v>72</v>
          </cell>
          <cell r="E27">
            <v>0.71468706102700197</v>
          </cell>
          <cell r="F27">
            <v>0.65029060203969702</v>
          </cell>
          <cell r="G27">
            <v>0.65098512263771602</v>
          </cell>
          <cell r="H27">
            <v>0</v>
          </cell>
          <cell r="I27">
            <v>0.25788646415908201</v>
          </cell>
          <cell r="J27">
            <v>1.8532733852396101E-2</v>
          </cell>
          <cell r="K27">
            <v>0</v>
          </cell>
          <cell r="L27">
            <v>6.6893299703914902E-2</v>
          </cell>
          <cell r="M27">
            <v>5.7023796468911097E-3</v>
          </cell>
          <cell r="N27">
            <v>1</v>
          </cell>
          <cell r="O27">
            <v>3</v>
          </cell>
          <cell r="P27">
            <v>0</v>
          </cell>
          <cell r="Q27">
            <v>0</v>
          </cell>
        </row>
        <row r="28">
          <cell r="A28" t="str">
            <v>Hyd_Deepika Nigam (1008538)</v>
          </cell>
          <cell r="B28" t="str">
            <v>08:16:59</v>
          </cell>
          <cell r="C28" t="str">
            <v>04:56:45</v>
          </cell>
          <cell r="D28">
            <v>71</v>
          </cell>
          <cell r="E28">
            <v>0.69474793194942996</v>
          </cell>
          <cell r="F28">
            <v>0.55001844461584903</v>
          </cell>
          <cell r="G28">
            <v>0.57443240886683</v>
          </cell>
          <cell r="H28">
            <v>1.23075891210302E-2</v>
          </cell>
          <cell r="I28">
            <v>0.25279184412622802</v>
          </cell>
          <cell r="J28">
            <v>1.0362520540594901E-2</v>
          </cell>
          <cell r="K28">
            <v>0</v>
          </cell>
          <cell r="L28">
            <v>0.14420336027365099</v>
          </cell>
          <cell r="M28">
            <v>5.9022770716657203E-3</v>
          </cell>
          <cell r="N28">
            <v>1</v>
          </cell>
          <cell r="O28">
            <v>0</v>
          </cell>
          <cell r="P28">
            <v>5</v>
          </cell>
          <cell r="Q28">
            <v>0</v>
          </cell>
        </row>
        <row r="29">
          <cell r="A29" t="str">
            <v>Hyd_Dinesh Kumar (1008539)</v>
          </cell>
          <cell r="B29" t="str">
            <v>08:13:53</v>
          </cell>
          <cell r="C29" t="str">
            <v>05:06:20</v>
          </cell>
          <cell r="D29">
            <v>70</v>
          </cell>
          <cell r="E29">
            <v>0.72208690186218305</v>
          </cell>
          <cell r="F29">
            <v>0.51334660682347399</v>
          </cell>
          <cell r="G29">
            <v>0.54388688286707398</v>
          </cell>
          <cell r="H29">
            <v>7.9303479229237694E-3</v>
          </cell>
          <cell r="I29">
            <v>0.232038605608612</v>
          </cell>
          <cell r="J29">
            <v>6.8437215266763399E-2</v>
          </cell>
          <cell r="K29">
            <v>0</v>
          </cell>
          <cell r="L29">
            <v>0.141835116255526</v>
          </cell>
          <cell r="M29">
            <v>5.8718320791009996E-3</v>
          </cell>
          <cell r="N29">
            <v>0</v>
          </cell>
          <cell r="O29">
            <v>11</v>
          </cell>
          <cell r="P29">
            <v>1</v>
          </cell>
          <cell r="Q29">
            <v>1</v>
          </cell>
        </row>
        <row r="30">
          <cell r="A30" t="str">
            <v>Hyd_Hari Kumar (1008540)</v>
          </cell>
          <cell r="B30" t="str">
            <v>08:15:11</v>
          </cell>
          <cell r="C30" t="str">
            <v>04:11:43</v>
          </cell>
          <cell r="D30">
            <v>69</v>
          </cell>
          <cell r="E30">
            <v>0.76097143145059698</v>
          </cell>
          <cell r="F30">
            <v>0.43603379219817601</v>
          </cell>
          <cell r="G30">
            <v>0.44983339503887398</v>
          </cell>
          <cell r="H30">
            <v>4.2745111238261897E-3</v>
          </cell>
          <cell r="I30">
            <v>0.15681060886540299</v>
          </cell>
          <cell r="J30">
            <v>5.4222341893574798E-2</v>
          </cell>
          <cell r="K30">
            <v>0</v>
          </cell>
          <cell r="L30">
            <v>0.33294066170778502</v>
          </cell>
          <cell r="M30">
            <v>1.91848137053616E-3</v>
          </cell>
          <cell r="N30">
            <v>1</v>
          </cell>
          <cell r="O30">
            <v>11</v>
          </cell>
          <cell r="P30">
            <v>2</v>
          </cell>
          <cell r="Q30">
            <v>0</v>
          </cell>
        </row>
        <row r="31">
          <cell r="A31" t="str">
            <v>Hyd_Heeramani Choudhary (1008541)</v>
          </cell>
          <cell r="B31" t="str">
            <v>07:27:24</v>
          </cell>
          <cell r="C31" t="str">
            <v>04:35:28</v>
          </cell>
          <cell r="D31">
            <v>68</v>
          </cell>
          <cell r="E31">
            <v>0.70364851632679104</v>
          </cell>
          <cell r="F31">
            <v>0.52954105200417201</v>
          </cell>
          <cell r="G31">
            <v>0.54116376098941998</v>
          </cell>
          <cell r="H31">
            <v>1.8141856653255801E-2</v>
          </cell>
          <cell r="I31">
            <v>0.19870362092087601</v>
          </cell>
          <cell r="J31">
            <v>5.6399940396364201E-2</v>
          </cell>
          <cell r="K31">
            <v>0</v>
          </cell>
          <cell r="L31">
            <v>0.17955595291312801</v>
          </cell>
          <cell r="M31">
            <v>6.0348681269557503E-3</v>
          </cell>
          <cell r="N31">
            <v>5</v>
          </cell>
          <cell r="O31">
            <v>5</v>
          </cell>
          <cell r="P31">
            <v>3</v>
          </cell>
          <cell r="Q31">
            <v>1</v>
          </cell>
        </row>
        <row r="32">
          <cell r="A32" t="str">
            <v>Hyd_Indra Pal (1008542)</v>
          </cell>
          <cell r="B32" t="str">
            <v>07:59:57</v>
          </cell>
          <cell r="C32" t="str">
            <v>05:14:16</v>
          </cell>
          <cell r="D32">
            <v>67</v>
          </cell>
          <cell r="E32">
            <v>0.76491825889416298</v>
          </cell>
          <cell r="F32">
            <v>0.56446852102649603</v>
          </cell>
          <cell r="G32">
            <v>0.58658888078619298</v>
          </cell>
          <cell r="H32">
            <v>3.61148730770566E-3</v>
          </cell>
          <cell r="I32">
            <v>0.18918637358058099</v>
          </cell>
          <cell r="J32">
            <v>6.4590061464735907E-2</v>
          </cell>
          <cell r="K32">
            <v>0</v>
          </cell>
          <cell r="L32">
            <v>0.14428586311074099</v>
          </cell>
          <cell r="M32">
            <v>1.17373337500434E-2</v>
          </cell>
          <cell r="N32">
            <v>0</v>
          </cell>
          <cell r="O32">
            <v>9</v>
          </cell>
          <cell r="P32">
            <v>1</v>
          </cell>
          <cell r="Q32">
            <v>1</v>
          </cell>
        </row>
        <row r="33">
          <cell r="A33" t="str">
            <v>Hyd_Indra Singh (1008543)</v>
          </cell>
          <cell r="B33" t="str">
            <v>08:17:44</v>
          </cell>
          <cell r="C33" t="str">
            <v>05:05:03</v>
          </cell>
          <cell r="D33">
            <v>66</v>
          </cell>
          <cell r="E33">
            <v>0.82688050598599505</v>
          </cell>
          <cell r="F33">
            <v>0.49789043664612898</v>
          </cell>
          <cell r="G33">
            <v>0.51356147870345603</v>
          </cell>
          <cell r="H33">
            <v>3.3485132601125101E-3</v>
          </cell>
          <cell r="I33">
            <v>0.123660594695955</v>
          </cell>
          <cell r="J33">
            <v>9.5968390034824505E-2</v>
          </cell>
          <cell r="K33">
            <v>0</v>
          </cell>
          <cell r="L33">
            <v>0.25964371818912402</v>
          </cell>
          <cell r="M33">
            <v>3.8173051165282601E-3</v>
          </cell>
          <cell r="N33">
            <v>1</v>
          </cell>
          <cell r="O33">
            <v>15</v>
          </cell>
          <cell r="P33">
            <v>1</v>
          </cell>
          <cell r="Q33">
            <v>0</v>
          </cell>
        </row>
        <row r="34">
          <cell r="A34" t="str">
            <v>Hyd_Jagdish Chandra (1008544)</v>
          </cell>
          <cell r="B34" t="str">
            <v>08:19:10</v>
          </cell>
          <cell r="C34" t="str">
            <v>04:59:15</v>
          </cell>
          <cell r="D34">
            <v>65</v>
          </cell>
          <cell r="E34">
            <v>0.69531038221740304</v>
          </cell>
          <cell r="F34">
            <v>0.56270450751252099</v>
          </cell>
          <cell r="G34">
            <v>0.57616026711185298</v>
          </cell>
          <cell r="H34">
            <v>1.40233722871452E-3</v>
          </cell>
          <cell r="I34">
            <v>0.23966611018363901</v>
          </cell>
          <cell r="J34">
            <v>2.1936560934891498E-2</v>
          </cell>
          <cell r="K34">
            <v>0</v>
          </cell>
          <cell r="L34">
            <v>0.13833055091819699</v>
          </cell>
          <cell r="M34">
            <v>2.2504173622704501E-2</v>
          </cell>
          <cell r="N34">
            <v>2</v>
          </cell>
          <cell r="O34">
            <v>1</v>
          </cell>
          <cell r="P34">
            <v>0</v>
          </cell>
          <cell r="Q34">
            <v>0</v>
          </cell>
        </row>
        <row r="35">
          <cell r="A35" t="str">
            <v>Hyd_Jairaj Vatham (1008545)</v>
          </cell>
          <cell r="B35" t="str">
            <v>08:16:23</v>
          </cell>
          <cell r="C35" t="str">
            <v>05:02:08</v>
          </cell>
          <cell r="D35">
            <v>64</v>
          </cell>
          <cell r="E35">
            <v>0.70567168827124405</v>
          </cell>
          <cell r="F35">
            <v>0.57680556021891705</v>
          </cell>
          <cell r="G35">
            <v>0.58597186314340399</v>
          </cell>
          <cell r="H35">
            <v>1.00728603565793E-4</v>
          </cell>
          <cell r="I35">
            <v>0.245744216499345</v>
          </cell>
          <cell r="J35">
            <v>2.2596783399926101E-2</v>
          </cell>
          <cell r="K35">
            <v>0</v>
          </cell>
          <cell r="L35">
            <v>0.140885740187355</v>
          </cell>
          <cell r="M35">
            <v>4.7006681664036503E-3</v>
          </cell>
          <cell r="N35">
            <v>2</v>
          </cell>
          <cell r="O35">
            <v>2</v>
          </cell>
          <cell r="P35">
            <v>0</v>
          </cell>
          <cell r="Q35">
            <v>0</v>
          </cell>
        </row>
        <row r="36">
          <cell r="A36" t="str">
            <v>Hyd_Janardan Mishra (1008546)</v>
          </cell>
          <cell r="B36" t="str">
            <v>07:39:42</v>
          </cell>
          <cell r="C36" t="str">
            <v>04:32:56</v>
          </cell>
          <cell r="D36">
            <v>63</v>
          </cell>
          <cell r="E36">
            <v>0.72876151484135099</v>
          </cell>
          <cell r="F36">
            <v>0.55728373576970502</v>
          </cell>
          <cell r="G36">
            <v>0.57762308752084701</v>
          </cell>
          <cell r="H36">
            <v>7.2511057936335303E-4</v>
          </cell>
          <cell r="I36">
            <v>0.20379232833006999</v>
          </cell>
          <cell r="J36">
            <v>1.53723442825031E-2</v>
          </cell>
          <cell r="K36">
            <v>0</v>
          </cell>
          <cell r="L36">
            <v>0.191755492712639</v>
          </cell>
          <cell r="M36">
            <v>1.07316365745776E-2</v>
          </cell>
          <cell r="N36">
            <v>2</v>
          </cell>
          <cell r="O36">
            <v>1</v>
          </cell>
          <cell r="P36">
            <v>0</v>
          </cell>
          <cell r="Q36">
            <v>0</v>
          </cell>
        </row>
        <row r="37">
          <cell r="A37" t="str">
            <v>Hyd_Jitendra Kumar (1008547)</v>
          </cell>
          <cell r="B37" t="str">
            <v>08:11:27</v>
          </cell>
          <cell r="C37" t="str">
            <v>04:07:41</v>
          </cell>
          <cell r="D37">
            <v>62</v>
          </cell>
          <cell r="E37">
            <v>0.73569306930693101</v>
          </cell>
          <cell r="F37">
            <v>0.47590463594126198</v>
          </cell>
          <cell r="G37">
            <v>0.48970732865330502</v>
          </cell>
          <cell r="H37">
            <v>5.76525248414556E-4</v>
          </cell>
          <cell r="I37">
            <v>0.17604368026587999</v>
          </cell>
          <cell r="J37">
            <v>1.3700952962322399E-2</v>
          </cell>
          <cell r="K37">
            <v>0</v>
          </cell>
          <cell r="L37">
            <v>0.31580018313154901</v>
          </cell>
          <cell r="M37">
            <v>4.1713297385288402E-3</v>
          </cell>
          <cell r="N37">
            <v>1</v>
          </cell>
          <cell r="O37">
            <v>1</v>
          </cell>
          <cell r="P37">
            <v>0</v>
          </cell>
          <cell r="Q37">
            <v>0</v>
          </cell>
        </row>
        <row r="38">
          <cell r="A38" t="str">
            <v>Hyd_John D'Costa (1008548)</v>
          </cell>
          <cell r="B38" t="str">
            <v>08:09:47</v>
          </cell>
          <cell r="C38" t="str">
            <v>04:51:30</v>
          </cell>
          <cell r="D38">
            <v>61</v>
          </cell>
          <cell r="E38">
            <v>0.69341474051461005</v>
          </cell>
          <cell r="F38">
            <v>0.55636846224520997</v>
          </cell>
          <cell r="G38">
            <v>0.57103481131112399</v>
          </cell>
          <cell r="H38">
            <v>0</v>
          </cell>
          <cell r="I38">
            <v>0.25923027188893</v>
          </cell>
          <cell r="J38">
            <v>2.41263143566883E-2</v>
          </cell>
          <cell r="K38">
            <v>0</v>
          </cell>
          <cell r="L38">
            <v>0.14210365127437299</v>
          </cell>
          <cell r="M38">
            <v>3.5049511688842001E-3</v>
          </cell>
          <cell r="N38">
            <v>2</v>
          </cell>
          <cell r="O38">
            <v>3</v>
          </cell>
          <cell r="P38">
            <v>0</v>
          </cell>
          <cell r="Q38">
            <v>0</v>
          </cell>
        </row>
        <row r="39">
          <cell r="A39" t="str">
            <v>Hyd_Julie S (1008549)</v>
          </cell>
          <cell r="B39" t="str">
            <v>08:15:46</v>
          </cell>
          <cell r="C39" t="str">
            <v>04:56:12</v>
          </cell>
          <cell r="D39">
            <v>60</v>
          </cell>
          <cell r="E39">
            <v>0.69527796252102803</v>
          </cell>
          <cell r="F39">
            <v>0.527970147246689</v>
          </cell>
          <cell r="G39">
            <v>0.54340079338398395</v>
          </cell>
          <cell r="H39">
            <v>3.52988637127681E-3</v>
          </cell>
          <cell r="I39">
            <v>0.25667316613998498</v>
          </cell>
          <cell r="J39">
            <v>5.0527802057419503E-2</v>
          </cell>
          <cell r="K39">
            <v>0</v>
          </cell>
          <cell r="L39">
            <v>0.14267464533046501</v>
          </cell>
          <cell r="M39">
            <v>3.1937067168695001E-3</v>
          </cell>
          <cell r="N39">
            <v>1</v>
          </cell>
          <cell r="O39">
            <v>11</v>
          </cell>
          <cell r="P39">
            <v>1</v>
          </cell>
          <cell r="Q39">
            <v>0</v>
          </cell>
        </row>
        <row r="40">
          <cell r="A40" t="str">
            <v>Hyd_Jyoti Tulsani (1008550)</v>
          </cell>
          <cell r="B40" t="str">
            <v>08:15:19</v>
          </cell>
          <cell r="C40" t="str">
            <v>04:56:56</v>
          </cell>
          <cell r="D40">
            <v>59</v>
          </cell>
          <cell r="E40">
            <v>0.69738129721689401</v>
          </cell>
          <cell r="F40">
            <v>0.565025741108382</v>
          </cell>
          <cell r="G40">
            <v>0.57508664490729799</v>
          </cell>
          <cell r="H40">
            <v>6.7297015377368002E-5</v>
          </cell>
          <cell r="I40">
            <v>0.25438271812645102</v>
          </cell>
          <cell r="J40">
            <v>2.4327871058918499E-2</v>
          </cell>
          <cell r="K40">
            <v>0</v>
          </cell>
          <cell r="L40">
            <v>0.14223224200006701</v>
          </cell>
          <cell r="M40">
            <v>3.9032268918873401E-3</v>
          </cell>
          <cell r="N40">
            <v>1</v>
          </cell>
          <cell r="O40">
            <v>4</v>
          </cell>
          <cell r="P40">
            <v>0</v>
          </cell>
          <cell r="Q40">
            <v>0</v>
          </cell>
        </row>
        <row r="41">
          <cell r="A41" t="str">
            <v>Hyd_Kahkasha Parveen (1008551)</v>
          </cell>
          <cell r="B41" t="str">
            <v>08:17:24</v>
          </cell>
          <cell r="C41" t="str">
            <v>05:25:18</v>
          </cell>
          <cell r="D41">
            <v>58</v>
          </cell>
          <cell r="E41">
            <v>0.76123244929797196</v>
          </cell>
          <cell r="F41">
            <v>0.48579278917035301</v>
          </cell>
          <cell r="G41">
            <v>0.51601661975606505</v>
          </cell>
          <cell r="H41">
            <v>1.0052271813429799E-3</v>
          </cell>
          <cell r="I41">
            <v>0.20158155743198</v>
          </cell>
          <cell r="J41">
            <v>0.13697895724433701</v>
          </cell>
          <cell r="K41">
            <v>0</v>
          </cell>
          <cell r="L41">
            <v>0.141133896260555</v>
          </cell>
          <cell r="M41">
            <v>3.2837421257204099E-3</v>
          </cell>
          <cell r="N41">
            <v>1</v>
          </cell>
          <cell r="O41">
            <v>3</v>
          </cell>
          <cell r="P41">
            <v>0</v>
          </cell>
          <cell r="Q41">
            <v>1</v>
          </cell>
        </row>
        <row r="42">
          <cell r="A42" t="str">
            <v>Hyd_Kailash Nath (1008552)</v>
          </cell>
          <cell r="B42" t="str">
            <v>08:16:01</v>
          </cell>
          <cell r="C42" t="str">
            <v>04:58:27</v>
          </cell>
          <cell r="D42">
            <v>57</v>
          </cell>
          <cell r="E42">
            <v>0.695039590125757</v>
          </cell>
          <cell r="F42">
            <v>0.572258996673499</v>
          </cell>
          <cell r="G42">
            <v>0.58418735929572296</v>
          </cell>
          <cell r="H42">
            <v>3.3601021471052698E-5</v>
          </cell>
          <cell r="I42">
            <v>0.24081852088303499</v>
          </cell>
          <cell r="J42">
            <v>1.7472531164947399E-2</v>
          </cell>
          <cell r="K42">
            <v>0</v>
          </cell>
          <cell r="L42">
            <v>0.136420147172474</v>
          </cell>
          <cell r="M42">
            <v>2.10678404623501E-2</v>
          </cell>
          <cell r="N42">
            <v>3</v>
          </cell>
          <cell r="O42">
            <v>1</v>
          </cell>
          <cell r="P42">
            <v>0</v>
          </cell>
          <cell r="Q42">
            <v>0</v>
          </cell>
        </row>
        <row r="43">
          <cell r="A43" t="str">
            <v>Hyd_Kalpana Agrawal (1008553)</v>
          </cell>
          <cell r="B43" t="str">
            <v>08:00:08</v>
          </cell>
          <cell r="C43" t="str">
            <v>03:54:19</v>
          </cell>
          <cell r="D43">
            <v>56</v>
          </cell>
          <cell r="E43">
            <v>0.69664535949655604</v>
          </cell>
          <cell r="F43">
            <v>0.46542627048042201</v>
          </cell>
          <cell r="G43">
            <v>0.47490280477645103</v>
          </cell>
          <cell r="H43">
            <v>3.01999444598723E-3</v>
          </cell>
          <cell r="I43">
            <v>0.207581227436823</v>
          </cell>
          <cell r="J43">
            <v>1.01013607331297E-2</v>
          </cell>
          <cell r="K43">
            <v>0</v>
          </cell>
          <cell r="L43">
            <v>0.30179116911968901</v>
          </cell>
          <cell r="M43">
            <v>2.6034434879200199E-3</v>
          </cell>
          <cell r="N43">
            <v>1</v>
          </cell>
          <cell r="O43">
            <v>1</v>
          </cell>
          <cell r="P43">
            <v>1</v>
          </cell>
          <cell r="Q43">
            <v>2</v>
          </cell>
        </row>
        <row r="44">
          <cell r="A44" t="str">
            <v>Hyd_Kamini Kumar (1008554)</v>
          </cell>
          <cell r="B44" t="str">
            <v>05:01:37</v>
          </cell>
          <cell r="C44" t="str">
            <v>03:21:30</v>
          </cell>
          <cell r="D44">
            <v>55</v>
          </cell>
          <cell r="E44">
            <v>0.70266186214111404</v>
          </cell>
          <cell r="F44">
            <v>0.64380836602751801</v>
          </cell>
          <cell r="G44">
            <v>0.65602033486213196</v>
          </cell>
          <cell r="H44">
            <v>2.2103111012875101E-4</v>
          </cell>
          <cell r="I44">
            <v>0.27954909653533699</v>
          </cell>
          <cell r="J44">
            <v>1.18251643918882E-2</v>
          </cell>
          <cell r="K44">
            <v>0</v>
          </cell>
          <cell r="L44">
            <v>4.9731999778968902E-2</v>
          </cell>
          <cell r="M44">
            <v>2.6523733215450102E-3</v>
          </cell>
          <cell r="N44">
            <v>1</v>
          </cell>
          <cell r="O44">
            <v>0</v>
          </cell>
          <cell r="P44">
            <v>0</v>
          </cell>
          <cell r="Q44">
            <v>0</v>
          </cell>
        </row>
        <row r="45">
          <cell r="A45" t="str">
            <v>Hyd_Kamini Tiwari (1008555)</v>
          </cell>
          <cell r="B45" t="str">
            <v>08:26:46</v>
          </cell>
          <cell r="C45" t="str">
            <v>05:18:49</v>
          </cell>
          <cell r="D45">
            <v>54</v>
          </cell>
          <cell r="E45">
            <v>0.723596610682403</v>
          </cell>
          <cell r="F45">
            <v>0.57347234098533195</v>
          </cell>
          <cell r="G45">
            <v>0.587120962967835</v>
          </cell>
          <cell r="H45">
            <v>8.5509438926527695E-4</v>
          </cell>
          <cell r="I45">
            <v>0.231237255804775</v>
          </cell>
          <cell r="J45">
            <v>4.11431954219562E-2</v>
          </cell>
          <cell r="K45">
            <v>0</v>
          </cell>
          <cell r="L45">
            <v>0.137637308425968</v>
          </cell>
          <cell r="M45">
            <v>2.0061829901993002E-3</v>
          </cell>
          <cell r="N45">
            <v>7</v>
          </cell>
          <cell r="O45">
            <v>6</v>
          </cell>
          <cell r="P45">
            <v>0</v>
          </cell>
          <cell r="Q45">
            <v>0</v>
          </cell>
        </row>
        <row r="46">
          <cell r="A46" t="str">
            <v>Hyd_Kavita Sharma (1008556)</v>
          </cell>
          <cell r="B46" t="str">
            <v>07:53:25</v>
          </cell>
          <cell r="C46" t="str">
            <v>05:26:19</v>
          </cell>
          <cell r="D46">
            <v>53</v>
          </cell>
          <cell r="E46">
            <v>0.77997769102063597</v>
          </cell>
          <cell r="F46">
            <v>0.64717479317021698</v>
          </cell>
          <cell r="G46">
            <v>0.671043830311565</v>
          </cell>
          <cell r="H46">
            <v>2.11230417180074E-3</v>
          </cell>
          <cell r="I46">
            <v>0.178067241682802</v>
          </cell>
          <cell r="J46">
            <v>1.60535117056856E-2</v>
          </cell>
          <cell r="K46">
            <v>0</v>
          </cell>
          <cell r="L46">
            <v>0.118957929941912</v>
          </cell>
          <cell r="M46">
            <v>1.3765182186234799E-2</v>
          </cell>
          <cell r="N46">
            <v>3</v>
          </cell>
          <cell r="O46">
            <v>2</v>
          </cell>
          <cell r="P46">
            <v>1</v>
          </cell>
          <cell r="Q46">
            <v>2</v>
          </cell>
        </row>
        <row r="47">
          <cell r="A47" t="str">
            <v>Hyd_Kiran Khubchandani (1008557)</v>
          </cell>
          <cell r="B47" t="str">
            <v>08:01:28</v>
          </cell>
          <cell r="C47" t="str">
            <v>04:13:15</v>
          </cell>
          <cell r="D47">
            <v>52</v>
          </cell>
          <cell r="E47">
            <v>0.72041532334534397</v>
          </cell>
          <cell r="F47">
            <v>0.50443090556632497</v>
          </cell>
          <cell r="G47">
            <v>0.51128496261423395</v>
          </cell>
          <cell r="H47">
            <v>5.98864580448629E-3</v>
          </cell>
          <cell r="I47">
            <v>0.19776377734699499</v>
          </cell>
          <cell r="J47">
            <v>8.7233453337025799E-3</v>
          </cell>
          <cell r="K47">
            <v>0</v>
          </cell>
          <cell r="L47">
            <v>0.27083910274162298</v>
          </cell>
          <cell r="M47">
            <v>5.4001661589587399E-3</v>
          </cell>
          <cell r="N47">
            <v>3</v>
          </cell>
          <cell r="O47">
            <v>0</v>
          </cell>
          <cell r="P47">
            <v>1</v>
          </cell>
          <cell r="Q47">
            <v>0</v>
          </cell>
        </row>
        <row r="48">
          <cell r="A48" t="str">
            <v>Hyd_Kisun Sah (1008558)</v>
          </cell>
          <cell r="B48" t="str">
            <v>08:21:34</v>
          </cell>
          <cell r="C48" t="str">
            <v>05:08:41</v>
          </cell>
          <cell r="D48">
            <v>51</v>
          </cell>
          <cell r="E48">
            <v>0.71393878652378395</v>
          </cell>
          <cell r="F48">
            <v>0.55280122283511701</v>
          </cell>
          <cell r="G48">
            <v>0.56732238984515204</v>
          </cell>
          <cell r="H48">
            <v>5.0176114840167502E-3</v>
          </cell>
          <cell r="I48">
            <v>0.23931680733701099</v>
          </cell>
          <cell r="J48">
            <v>4.3098292018342498E-2</v>
          </cell>
          <cell r="K48">
            <v>0</v>
          </cell>
          <cell r="L48">
            <v>0.138499368644913</v>
          </cell>
          <cell r="M48">
            <v>6.7455306705655601E-3</v>
          </cell>
          <cell r="N48">
            <v>5</v>
          </cell>
          <cell r="O48">
            <v>8</v>
          </cell>
          <cell r="P48">
            <v>2</v>
          </cell>
          <cell r="Q48">
            <v>0</v>
          </cell>
        </row>
        <row r="49">
          <cell r="A49" t="str">
            <v>Hyd_Krishana Kumar (1008559)</v>
          </cell>
          <cell r="B49" t="str">
            <v>08:15:28</v>
          </cell>
          <cell r="C49" t="str">
            <v>04:45:06</v>
          </cell>
          <cell r="D49">
            <v>50</v>
          </cell>
          <cell r="E49">
            <v>0.66945835942391996</v>
          </cell>
          <cell r="F49">
            <v>0.55493137782561897</v>
          </cell>
          <cell r="G49">
            <v>0.56529198062432695</v>
          </cell>
          <cell r="H49">
            <v>2.35468245425188E-4</v>
          </cell>
          <cell r="I49">
            <v>0.28081270182992502</v>
          </cell>
          <cell r="J49">
            <v>9.8896663078579094E-3</v>
          </cell>
          <cell r="K49">
            <v>0</v>
          </cell>
          <cell r="L49">
            <v>0.14077637244348801</v>
          </cell>
          <cell r="M49">
            <v>2.99381054897739E-3</v>
          </cell>
          <cell r="N49">
            <v>3</v>
          </cell>
          <cell r="O49">
            <v>0</v>
          </cell>
          <cell r="P49">
            <v>0</v>
          </cell>
          <cell r="Q49">
            <v>0</v>
          </cell>
        </row>
        <row r="50">
          <cell r="A50" t="str">
            <v>Hyd_Kunj Bihari (1008560)</v>
          </cell>
          <cell r="B50" t="str">
            <v>07:59:19</v>
          </cell>
          <cell r="C50" t="str">
            <v>04:42:13</v>
          </cell>
          <cell r="D50">
            <v>49</v>
          </cell>
          <cell r="E50">
            <v>0.68951054646143795</v>
          </cell>
          <cell r="F50">
            <v>0.55217497131332804</v>
          </cell>
          <cell r="G50">
            <v>0.55662575193852304</v>
          </cell>
          <cell r="H50">
            <v>0</v>
          </cell>
          <cell r="I50">
            <v>0.26224833965019601</v>
          </cell>
          <cell r="J50">
            <v>3.2163844361764997E-2</v>
          </cell>
          <cell r="K50">
            <v>0</v>
          </cell>
          <cell r="L50">
            <v>0.14642372822420799</v>
          </cell>
          <cell r="M50">
            <v>2.5383358253068598E-3</v>
          </cell>
          <cell r="N50">
            <v>0</v>
          </cell>
          <cell r="O50">
            <v>3</v>
          </cell>
          <cell r="P50">
            <v>0</v>
          </cell>
          <cell r="Q50">
            <v>2</v>
          </cell>
        </row>
        <row r="51">
          <cell r="A51" t="str">
            <v>Hyd_Leena George (1008561)</v>
          </cell>
          <cell r="B51" t="str">
            <v>04:56:13</v>
          </cell>
          <cell r="C51" t="str">
            <v>03:10:50</v>
          </cell>
          <cell r="D51">
            <v>48</v>
          </cell>
          <cell r="E51">
            <v>0.67908190498784204</v>
          </cell>
          <cell r="F51">
            <v>0.58819557756147001</v>
          </cell>
          <cell r="G51">
            <v>0.61205198897203605</v>
          </cell>
          <cell r="H51">
            <v>1.1196759129015899E-2</v>
          </cell>
          <cell r="I51">
            <v>0.28644573229055298</v>
          </cell>
          <cell r="J51">
            <v>2.0986890226748399E-2</v>
          </cell>
          <cell r="K51">
            <v>0</v>
          </cell>
          <cell r="L51">
            <v>6.1328982163956602E-2</v>
          </cell>
          <cell r="M51">
            <v>7.9896472176897507E-3</v>
          </cell>
          <cell r="N51">
            <v>2</v>
          </cell>
          <cell r="O51">
            <v>2</v>
          </cell>
          <cell r="P51">
            <v>3</v>
          </cell>
          <cell r="Q51">
            <v>0</v>
          </cell>
        </row>
        <row r="52">
          <cell r="A52" t="str">
            <v>Hyd_Lilly Lucy (1008562)</v>
          </cell>
          <cell r="B52" t="str">
            <v>07:45:23</v>
          </cell>
          <cell r="C52" t="str">
            <v>04:39:06</v>
          </cell>
          <cell r="D52">
            <v>47</v>
          </cell>
          <cell r="E52">
            <v>0.67342260827602896</v>
          </cell>
          <cell r="F52">
            <v>0.55534863732407003</v>
          </cell>
          <cell r="G52">
            <v>0.56333488522006903</v>
          </cell>
          <cell r="H52">
            <v>5.0137879167711202E-4</v>
          </cell>
          <cell r="I52">
            <v>0.23521827883823401</v>
          </cell>
          <cell r="J52">
            <v>3.5884396375747599E-2</v>
          </cell>
          <cell r="K52">
            <v>0</v>
          </cell>
          <cell r="L52">
            <v>0.16058446442001201</v>
          </cell>
          <cell r="M52">
            <v>4.4765963542599298E-3</v>
          </cell>
          <cell r="N52">
            <v>1</v>
          </cell>
          <cell r="O52">
            <v>6</v>
          </cell>
          <cell r="P52">
            <v>0</v>
          </cell>
          <cell r="Q52">
            <v>0</v>
          </cell>
        </row>
        <row r="53">
          <cell r="A53" t="str">
            <v>Hyd_Mangal Singh (1008563)</v>
          </cell>
          <cell r="B53" t="str">
            <v>08:00:13</v>
          </cell>
          <cell r="C53" t="str">
            <v>04:46:25</v>
          </cell>
          <cell r="D53">
            <v>46</v>
          </cell>
          <cell r="E53">
            <v>0.69809481252792804</v>
          </cell>
          <cell r="F53">
            <v>0.55815083469267301</v>
          </cell>
          <cell r="G53">
            <v>0.57887064866553295</v>
          </cell>
          <cell r="H53">
            <v>3.81772116752855E-4</v>
          </cell>
          <cell r="I53">
            <v>0.25356609863603202</v>
          </cell>
          <cell r="J53">
            <v>1.7179745253878501E-2</v>
          </cell>
          <cell r="K53">
            <v>0</v>
          </cell>
          <cell r="L53">
            <v>0.145906361711727</v>
          </cell>
          <cell r="M53">
            <v>4.0953736160760802E-3</v>
          </cell>
          <cell r="N53">
            <v>2</v>
          </cell>
          <cell r="O53">
            <v>1</v>
          </cell>
          <cell r="P53">
            <v>0</v>
          </cell>
          <cell r="Q53">
            <v>0</v>
          </cell>
        </row>
        <row r="54">
          <cell r="A54" t="str">
            <v>Hyd_Manisha Shrivastava (1008564)</v>
          </cell>
          <cell r="B54" t="str">
            <v>08:09:49</v>
          </cell>
          <cell r="C54" t="str">
            <v>04:51:12</v>
          </cell>
          <cell r="D54">
            <v>45</v>
          </cell>
          <cell r="E54">
            <v>0.69352597943873295</v>
          </cell>
          <cell r="F54">
            <v>0.53002824185919895</v>
          </cell>
          <cell r="G54">
            <v>0.56510939467147603</v>
          </cell>
          <cell r="H54">
            <v>3.7769233386641299E-3</v>
          </cell>
          <cell r="I54">
            <v>0.255912075946783</v>
          </cell>
          <cell r="J54">
            <v>2.5009357242505699E-2</v>
          </cell>
          <cell r="K54">
            <v>0</v>
          </cell>
          <cell r="L54">
            <v>0.14321684984177799</v>
          </cell>
          <cell r="M54">
            <v>6.9753989587941099E-3</v>
          </cell>
          <cell r="N54">
            <v>1</v>
          </cell>
          <cell r="O54">
            <v>3</v>
          </cell>
          <cell r="P54">
            <v>1</v>
          </cell>
          <cell r="Q54">
            <v>1</v>
          </cell>
        </row>
        <row r="55">
          <cell r="A55" t="str">
            <v>Hyd_Manjusha Sinha (1008565)</v>
          </cell>
          <cell r="B55" t="str">
            <v>08:14:05</v>
          </cell>
          <cell r="C55" t="str">
            <v>05:04:01</v>
          </cell>
          <cell r="D55">
            <v>44</v>
          </cell>
          <cell r="E55">
            <v>0.71640091116173099</v>
          </cell>
          <cell r="F55">
            <v>0.54639905548996504</v>
          </cell>
          <cell r="G55">
            <v>0.55422499578343698</v>
          </cell>
          <cell r="H55">
            <v>6.7465002529937596E-5</v>
          </cell>
          <cell r="I55">
            <v>0.23875864395344901</v>
          </cell>
          <cell r="J55">
            <v>6.1022094788328603E-2</v>
          </cell>
          <cell r="K55">
            <v>0</v>
          </cell>
          <cell r="L55">
            <v>0.142992072862203</v>
          </cell>
          <cell r="M55">
            <v>2.9347276100522802E-3</v>
          </cell>
          <cell r="N55">
            <v>1</v>
          </cell>
          <cell r="O55">
            <v>9</v>
          </cell>
          <cell r="P55">
            <v>0</v>
          </cell>
          <cell r="Q55">
            <v>0</v>
          </cell>
        </row>
        <row r="56">
          <cell r="A56" t="str">
            <v>Hyd_ManjuTiwari Lab (1008566)</v>
          </cell>
          <cell r="B56" t="str">
            <v>07:41:28</v>
          </cell>
          <cell r="C56" t="str">
            <v>04:26:11</v>
          </cell>
          <cell r="D56">
            <v>43</v>
          </cell>
          <cell r="E56">
            <v>0.67961702127659596</v>
          </cell>
          <cell r="F56">
            <v>0.52849609939323905</v>
          </cell>
          <cell r="G56">
            <v>0.52849609939323905</v>
          </cell>
          <cell r="H56">
            <v>0</v>
          </cell>
          <cell r="I56">
            <v>0.26820283155157498</v>
          </cell>
          <cell r="J56">
            <v>4.83241837619185E-2</v>
          </cell>
          <cell r="K56">
            <v>0</v>
          </cell>
          <cell r="L56">
            <v>0.15335163247616301</v>
          </cell>
          <cell r="M56">
            <v>1.6252528171048801E-3</v>
          </cell>
          <cell r="N56">
            <v>0</v>
          </cell>
          <cell r="O56">
            <v>7</v>
          </cell>
          <cell r="P56">
            <v>0</v>
          </cell>
          <cell r="Q56">
            <v>0</v>
          </cell>
        </row>
        <row r="57">
          <cell r="A57" t="str">
            <v>Hyd_Manoj Kumar (1008567)</v>
          </cell>
          <cell r="B57" t="str">
            <v>08:00:44</v>
          </cell>
          <cell r="C57" t="str">
            <v>04:28:58</v>
          </cell>
          <cell r="D57">
            <v>42</v>
          </cell>
          <cell r="E57">
            <v>0.65449973638317704</v>
          </cell>
          <cell r="F57">
            <v>0.53279711551795905</v>
          </cell>
          <cell r="G57">
            <v>0.54420330051310495</v>
          </cell>
          <cell r="H57">
            <v>1.04007765913188E-4</v>
          </cell>
          <cell r="I57">
            <v>0.287685480515879</v>
          </cell>
          <cell r="J57">
            <v>1.51851338233255E-2</v>
          </cell>
          <cell r="K57">
            <v>0</v>
          </cell>
          <cell r="L57">
            <v>0.14536818749133301</v>
          </cell>
          <cell r="M57">
            <v>7.4538898904451499E-3</v>
          </cell>
          <cell r="N57">
            <v>0</v>
          </cell>
          <cell r="O57">
            <v>1</v>
          </cell>
          <cell r="P57">
            <v>0</v>
          </cell>
          <cell r="Q57">
            <v>7</v>
          </cell>
        </row>
        <row r="58">
          <cell r="A58" t="str">
            <v>Hyd_Manoj Kumar (1008568)</v>
          </cell>
          <cell r="B58" t="str">
            <v>07:55:23</v>
          </cell>
          <cell r="C58" t="str">
            <v>04:29:51</v>
          </cell>
          <cell r="D58">
            <v>41</v>
          </cell>
          <cell r="E58">
            <v>0.66536533245664498</v>
          </cell>
          <cell r="F58">
            <v>0.53150089401535605</v>
          </cell>
          <cell r="G58">
            <v>0.53788170949759795</v>
          </cell>
          <cell r="H58">
            <v>8.7648564316516499E-4</v>
          </cell>
          <cell r="I58">
            <v>0.268134487957087</v>
          </cell>
          <cell r="J58">
            <v>2.8888966798723801E-2</v>
          </cell>
          <cell r="K58">
            <v>0</v>
          </cell>
          <cell r="L58">
            <v>0.15983592188759899</v>
          </cell>
          <cell r="M58">
            <v>4.3824282158258197E-3</v>
          </cell>
          <cell r="N58">
            <v>0</v>
          </cell>
          <cell r="O58">
            <v>1</v>
          </cell>
          <cell r="P58">
            <v>0</v>
          </cell>
          <cell r="Q58">
            <v>0</v>
          </cell>
        </row>
        <row r="59">
          <cell r="A59" t="str">
            <v>Hyd_Masroor Adil (1008569)</v>
          </cell>
          <cell r="B59" t="str">
            <v>08:10:04</v>
          </cell>
          <cell r="C59" t="str">
            <v>05:04:35</v>
          </cell>
          <cell r="D59">
            <v>40</v>
          </cell>
          <cell r="E59">
            <v>0.72453712881100596</v>
          </cell>
          <cell r="F59">
            <v>0.58954564004897303</v>
          </cell>
          <cell r="G59">
            <v>0.59757175894436099</v>
          </cell>
          <cell r="H59">
            <v>2.3806284859202801E-4</v>
          </cell>
          <cell r="I59">
            <v>0.213406339273568</v>
          </cell>
          <cell r="J59">
            <v>2.3704257924092E-2</v>
          </cell>
          <cell r="K59">
            <v>0</v>
          </cell>
          <cell r="L59">
            <v>0.146204598013876</v>
          </cell>
          <cell r="M59">
            <v>1.8874982995510801E-2</v>
          </cell>
          <cell r="N59">
            <v>0</v>
          </cell>
          <cell r="O59">
            <v>3</v>
          </cell>
          <cell r="P59">
            <v>0</v>
          </cell>
          <cell r="Q59">
            <v>1</v>
          </cell>
        </row>
        <row r="60">
          <cell r="A60" t="str">
            <v>Hyd_Meena Zinjare (1008570)</v>
          </cell>
          <cell r="B60" t="str">
            <v>08:05:29</v>
          </cell>
          <cell r="C60" t="str">
            <v>03:09:32</v>
          </cell>
          <cell r="D60">
            <v>39</v>
          </cell>
          <cell r="E60">
            <v>0.699298979215349</v>
          </cell>
          <cell r="F60">
            <v>0.34903360911806097</v>
          </cell>
          <cell r="G60">
            <v>0.35964159428747999</v>
          </cell>
          <cell r="H60">
            <v>1.9499467884239102E-2</v>
          </cell>
          <cell r="I60">
            <v>0.16433794500326099</v>
          </cell>
          <cell r="J60">
            <v>1.1260256102166201E-2</v>
          </cell>
          <cell r="K60">
            <v>0</v>
          </cell>
          <cell r="L60">
            <v>0.442342682550036</v>
          </cell>
          <cell r="M60">
            <v>2.9180541728174702E-3</v>
          </cell>
          <cell r="N60">
            <v>2</v>
          </cell>
          <cell r="O60">
            <v>1</v>
          </cell>
          <cell r="P60">
            <v>4</v>
          </cell>
          <cell r="Q60">
            <v>0</v>
          </cell>
        </row>
        <row r="61">
          <cell r="A61" t="str">
            <v>Hyd_Mehnaz Khan (1008571)</v>
          </cell>
          <cell r="B61" t="str">
            <v>08:14:51</v>
          </cell>
          <cell r="C61" t="str">
            <v>04:08:21</v>
          </cell>
          <cell r="D61">
            <v>38</v>
          </cell>
          <cell r="E61">
            <v>0.67028023930547398</v>
          </cell>
          <cell r="F61">
            <v>0.47933717288067101</v>
          </cell>
          <cell r="G61">
            <v>0.48829611666835099</v>
          </cell>
          <cell r="H61">
            <v>4.3784311744299602E-4</v>
          </cell>
          <cell r="I61">
            <v>0.22687009531507901</v>
          </cell>
          <cell r="J61">
            <v>1.31352935232899E-2</v>
          </cell>
          <cell r="K61">
            <v>0</v>
          </cell>
          <cell r="L61">
            <v>0.26755582499747399</v>
          </cell>
          <cell r="M61">
            <v>3.7048263783638099E-3</v>
          </cell>
          <cell r="N61">
            <v>1</v>
          </cell>
          <cell r="O61">
            <v>1</v>
          </cell>
          <cell r="P61">
            <v>0</v>
          </cell>
          <cell r="Q61">
            <v>0</v>
          </cell>
        </row>
        <row r="62">
          <cell r="A62" t="str">
            <v>Hyd_Mercy Thampi (1008572)</v>
          </cell>
          <cell r="B62" t="str">
            <v>05:15:35</v>
          </cell>
          <cell r="C62" t="str">
            <v>03:38:44</v>
          </cell>
          <cell r="D62">
            <v>37</v>
          </cell>
          <cell r="E62">
            <v>0.72721227904914898</v>
          </cell>
          <cell r="F62">
            <v>0.62762080802746201</v>
          </cell>
          <cell r="G62">
            <v>0.66421969897016098</v>
          </cell>
          <cell r="H62">
            <v>0</v>
          </cell>
          <cell r="I62">
            <v>0.25207288090837099</v>
          </cell>
          <cell r="J62">
            <v>2.8888302086083999E-2</v>
          </cell>
          <cell r="K62">
            <v>0</v>
          </cell>
          <cell r="L62">
            <v>4.9379456033799798E-2</v>
          </cell>
          <cell r="M62">
            <v>5.4396620015843703E-3</v>
          </cell>
          <cell r="N62">
            <v>1</v>
          </cell>
          <cell r="O62">
            <v>3</v>
          </cell>
          <cell r="P62">
            <v>0</v>
          </cell>
          <cell r="Q62">
            <v>0</v>
          </cell>
        </row>
        <row r="63">
          <cell r="A63" t="str">
            <v>Hyd_Miny Mole (1008573)</v>
          </cell>
          <cell r="B63" t="str">
            <v>08:12:10</v>
          </cell>
          <cell r="C63" t="str">
            <v>04:14:06</v>
          </cell>
          <cell r="D63">
            <v>36</v>
          </cell>
          <cell r="E63">
            <v>0.70737252354660596</v>
          </cell>
          <cell r="F63">
            <v>0.47561801557737898</v>
          </cell>
          <cell r="G63">
            <v>0.49664747714189</v>
          </cell>
          <cell r="H63">
            <v>1.7609210971892999E-3</v>
          </cell>
          <cell r="I63">
            <v>0.210667118184897</v>
          </cell>
          <cell r="J63">
            <v>1.7880121909922098E-2</v>
          </cell>
          <cell r="K63">
            <v>0</v>
          </cell>
          <cell r="L63">
            <v>0.27047070775482601</v>
          </cell>
          <cell r="M63">
            <v>2.57365391127667E-3</v>
          </cell>
          <cell r="N63">
            <v>2</v>
          </cell>
          <cell r="O63">
            <v>1</v>
          </cell>
          <cell r="P63">
            <v>0</v>
          </cell>
          <cell r="Q63">
            <v>0</v>
          </cell>
        </row>
        <row r="64">
          <cell r="A64" t="str">
            <v>Hyd_Mohd Rafi (1008574)</v>
          </cell>
          <cell r="B64" t="str">
            <v>08:00:32</v>
          </cell>
          <cell r="C64" t="str">
            <v>03:55:15</v>
          </cell>
          <cell r="D64">
            <v>35</v>
          </cell>
          <cell r="E64">
            <v>0.72855373180551297</v>
          </cell>
          <cell r="F64">
            <v>0.43635543840177599</v>
          </cell>
          <cell r="G64">
            <v>0.45310765815760301</v>
          </cell>
          <cell r="H64">
            <v>3.1215316315205302E-3</v>
          </cell>
          <cell r="I64">
            <v>0.176505271920089</v>
          </cell>
          <cell r="J64">
            <v>3.33310210876804E-2</v>
          </cell>
          <cell r="K64">
            <v>0</v>
          </cell>
          <cell r="L64">
            <v>0.32980715871254201</v>
          </cell>
          <cell r="M64">
            <v>4.1273584905660403E-3</v>
          </cell>
          <cell r="N64">
            <v>0</v>
          </cell>
          <cell r="O64">
            <v>6</v>
          </cell>
          <cell r="P64">
            <v>1</v>
          </cell>
          <cell r="Q64">
            <v>0</v>
          </cell>
        </row>
        <row r="65">
          <cell r="A65" t="str">
            <v>Hyd_Mubeen Khan (1008575)</v>
          </cell>
          <cell r="B65" t="str">
            <v>07:55:35</v>
          </cell>
          <cell r="C65" t="str">
            <v>03:50:43</v>
          </cell>
          <cell r="D65">
            <v>34</v>
          </cell>
          <cell r="E65">
            <v>0.691562172153669</v>
          </cell>
          <cell r="F65">
            <v>0.451270369721395</v>
          </cell>
          <cell r="G65">
            <v>0.48782197301559499</v>
          </cell>
          <cell r="H65">
            <v>1.43332749255301E-2</v>
          </cell>
          <cell r="I65">
            <v>0.17928859295601901</v>
          </cell>
          <cell r="J65">
            <v>1.27212195549325E-2</v>
          </cell>
          <cell r="K65">
            <v>0</v>
          </cell>
          <cell r="L65">
            <v>0.30411775013141801</v>
          </cell>
          <cell r="M65">
            <v>1.71718941650604E-3</v>
          </cell>
          <cell r="N65">
            <v>1</v>
          </cell>
          <cell r="O65">
            <v>1</v>
          </cell>
          <cell r="P65">
            <v>4</v>
          </cell>
          <cell r="Q65">
            <v>1</v>
          </cell>
        </row>
        <row r="66">
          <cell r="A66" t="str">
            <v>Hyd_Mukesh Nagar (1008576)</v>
          </cell>
          <cell r="B66" t="str">
            <v>05:01:07</v>
          </cell>
          <cell r="C66" t="str">
            <v>03:13:40</v>
          </cell>
          <cell r="D66">
            <v>33</v>
          </cell>
          <cell r="E66">
            <v>0.67656477438136797</v>
          </cell>
          <cell r="F66">
            <v>0.61244257486024201</v>
          </cell>
          <cell r="G66">
            <v>0.63070792051807201</v>
          </cell>
          <cell r="H66">
            <v>0</v>
          </cell>
          <cell r="I66">
            <v>0.25383295511152898</v>
          </cell>
          <cell r="J66">
            <v>1.24536447667017E-2</v>
          </cell>
          <cell r="K66">
            <v>0</v>
          </cell>
          <cell r="L66">
            <v>9.8190070293906001E-2</v>
          </cell>
          <cell r="M66">
            <v>4.8154093097913303E-3</v>
          </cell>
          <cell r="N66">
            <v>3</v>
          </cell>
          <cell r="O66">
            <v>0</v>
          </cell>
          <cell r="P66">
            <v>0</v>
          </cell>
          <cell r="Q66">
            <v>0</v>
          </cell>
        </row>
        <row r="67">
          <cell r="A67" t="str">
            <v>Hyd_Nandu Kumar (1008577)</v>
          </cell>
          <cell r="B67" t="str">
            <v>08:21:39</v>
          </cell>
          <cell r="C67" t="str">
            <v>04:43:39</v>
          </cell>
          <cell r="D67">
            <v>32</v>
          </cell>
          <cell r="E67">
            <v>0.64365946825006604</v>
          </cell>
          <cell r="F67">
            <v>0.51755872288115901</v>
          </cell>
          <cell r="G67">
            <v>0.540516296222466</v>
          </cell>
          <cell r="H67">
            <v>3.3223695139373401E-5</v>
          </cell>
          <cell r="I67">
            <v>0.28263397455064898</v>
          </cell>
          <cell r="J67">
            <v>2.4884547659390702E-2</v>
          </cell>
          <cell r="K67">
            <v>0</v>
          </cell>
          <cell r="L67">
            <v>0.14761287750423599</v>
          </cell>
          <cell r="M67">
            <v>4.3190803681185403E-3</v>
          </cell>
          <cell r="N67">
            <v>3</v>
          </cell>
          <cell r="O67">
            <v>4</v>
          </cell>
          <cell r="P67">
            <v>0</v>
          </cell>
          <cell r="Q67">
            <v>0</v>
          </cell>
        </row>
        <row r="68">
          <cell r="A68" t="str">
            <v>Hyd_Narayan Singh (1008578)</v>
          </cell>
          <cell r="B68" t="str">
            <v>08:19:29</v>
          </cell>
          <cell r="C68" t="str">
            <v>04:54:19</v>
          </cell>
          <cell r="D68">
            <v>31</v>
          </cell>
          <cell r="E68">
            <v>0.68047474085777004</v>
          </cell>
          <cell r="F68">
            <v>0.55550735760285597</v>
          </cell>
          <cell r="G68">
            <v>0.57048950582268299</v>
          </cell>
          <cell r="H68">
            <v>1.0310654342820901E-2</v>
          </cell>
          <cell r="I68">
            <v>0.263872668424038</v>
          </cell>
          <cell r="J68">
            <v>8.1417464713537304E-3</v>
          </cell>
          <cell r="K68">
            <v>0</v>
          </cell>
          <cell r="L68">
            <v>0.13704160966331899</v>
          </cell>
          <cell r="M68">
            <v>1.0143815275784999E-2</v>
          </cell>
          <cell r="N68">
            <v>3</v>
          </cell>
          <cell r="O68">
            <v>0</v>
          </cell>
          <cell r="P68">
            <v>5</v>
          </cell>
          <cell r="Q68">
            <v>1</v>
          </cell>
        </row>
        <row r="69">
          <cell r="A69" t="str">
            <v>Hyd_Neeraj Saxena (1008579)</v>
          </cell>
          <cell r="B69" t="str">
            <v>08:21:13</v>
          </cell>
          <cell r="C69" t="str">
            <v>04:36:09</v>
          </cell>
          <cell r="D69">
            <v>30</v>
          </cell>
          <cell r="E69">
            <v>0.75293101881305102</v>
          </cell>
          <cell r="F69">
            <v>0.45535862734013899</v>
          </cell>
          <cell r="G69">
            <v>0.46892561433844299</v>
          </cell>
          <cell r="H69">
            <v>4.0900475509593297E-2</v>
          </cell>
          <cell r="I69">
            <v>0.17567253017657</v>
          </cell>
          <cell r="J69">
            <v>4.1133242443387799E-2</v>
          </cell>
          <cell r="K69">
            <v>0</v>
          </cell>
          <cell r="L69">
            <v>0.26994313836331602</v>
          </cell>
          <cell r="M69">
            <v>3.42499916868952E-3</v>
          </cell>
          <cell r="N69">
            <v>6</v>
          </cell>
          <cell r="O69">
            <v>8</v>
          </cell>
          <cell r="P69">
            <v>6</v>
          </cell>
          <cell r="Q69">
            <v>0</v>
          </cell>
        </row>
        <row r="70">
          <cell r="A70" t="str">
            <v>Hyd_Neeru Mehta (1008580)</v>
          </cell>
          <cell r="B70" t="str">
            <v>08:02:20</v>
          </cell>
          <cell r="C70" t="str">
            <v>04:44:15</v>
          </cell>
          <cell r="D70">
            <v>29</v>
          </cell>
          <cell r="E70">
            <v>0.68920229532045596</v>
          </cell>
          <cell r="F70">
            <v>0.53445058742225304</v>
          </cell>
          <cell r="G70">
            <v>0.55725639253628201</v>
          </cell>
          <cell r="H70">
            <v>1.3994471319972401E-2</v>
          </cell>
          <cell r="I70">
            <v>0.25884588804422898</v>
          </cell>
          <cell r="J70">
            <v>1.8071872840359399E-2</v>
          </cell>
          <cell r="K70">
            <v>0</v>
          </cell>
          <cell r="L70">
            <v>0.14523151347615701</v>
          </cell>
          <cell r="M70">
            <v>6.5998617829993098E-3</v>
          </cell>
          <cell r="N70">
            <v>1</v>
          </cell>
          <cell r="O70">
            <v>2</v>
          </cell>
          <cell r="P70">
            <v>2</v>
          </cell>
          <cell r="Q70">
            <v>1</v>
          </cell>
        </row>
        <row r="71">
          <cell r="A71" t="str">
            <v>Hyd_Nikita Panwalkar (1008581)</v>
          </cell>
          <cell r="B71" t="str">
            <v>08:16:46</v>
          </cell>
          <cell r="C71" t="str">
            <v>04:58:45</v>
          </cell>
          <cell r="D71">
            <v>28</v>
          </cell>
          <cell r="E71">
            <v>0.74780976220275297</v>
          </cell>
          <cell r="F71">
            <v>0.55914916459773201</v>
          </cell>
          <cell r="G71">
            <v>0.57495135207676296</v>
          </cell>
          <cell r="H71">
            <v>9.2263302690733396E-3</v>
          </cell>
          <cell r="I71">
            <v>0.19673891162853099</v>
          </cell>
          <cell r="J71">
            <v>1.5768637187143501E-2</v>
          </cell>
          <cell r="K71">
            <v>0</v>
          </cell>
          <cell r="L71">
            <v>0.19610145608266799</v>
          </cell>
          <cell r="M71">
            <v>7.2133127558209704E-3</v>
          </cell>
          <cell r="N71">
            <v>3</v>
          </cell>
          <cell r="O71">
            <v>1</v>
          </cell>
          <cell r="P71">
            <v>2</v>
          </cell>
          <cell r="Q71">
            <v>2</v>
          </cell>
        </row>
        <row r="72">
          <cell r="A72" t="str">
            <v>Hyd_Nitin Bhatia (1008582)</v>
          </cell>
          <cell r="B72" t="str">
            <v>08:00:37</v>
          </cell>
          <cell r="C72" t="str">
            <v>04:44:56</v>
          </cell>
          <cell r="D72">
            <v>29</v>
          </cell>
          <cell r="E72">
            <v>0.69346529834097304</v>
          </cell>
          <cell r="F72">
            <v>0.56847106148351101</v>
          </cell>
          <cell r="G72">
            <v>0.56871380518084402</v>
          </cell>
          <cell r="H72">
            <v>7.1089225647605501E-3</v>
          </cell>
          <cell r="I72">
            <v>0.25838332697576</v>
          </cell>
          <cell r="J72">
            <v>1.7026736484377698E-2</v>
          </cell>
          <cell r="K72">
            <v>0</v>
          </cell>
          <cell r="L72">
            <v>0.14540347470263901</v>
          </cell>
          <cell r="M72">
            <v>3.3637340916184101E-3</v>
          </cell>
          <cell r="N72">
            <v>1</v>
          </cell>
          <cell r="O72">
            <v>0</v>
          </cell>
          <cell r="P72">
            <v>1</v>
          </cell>
          <cell r="Q72">
            <v>0</v>
          </cell>
        </row>
        <row r="73">
          <cell r="A73" t="str">
            <v>Hyd_Om Prakash (1008583)</v>
          </cell>
          <cell r="B73" t="str">
            <v>07:55:44</v>
          </cell>
          <cell r="C73" t="str">
            <v>04:26:21</v>
          </cell>
          <cell r="D73">
            <v>30</v>
          </cell>
          <cell r="E73">
            <v>0.70033743809982896</v>
          </cell>
          <cell r="F73">
            <v>0.47509108744394601</v>
          </cell>
          <cell r="G73">
            <v>0.48952494394618801</v>
          </cell>
          <cell r="H73">
            <v>1.3663116591928299E-2</v>
          </cell>
          <cell r="I73">
            <v>0.23584641255605401</v>
          </cell>
          <cell r="J73">
            <v>5.6684417040358703E-2</v>
          </cell>
          <cell r="K73">
            <v>0</v>
          </cell>
          <cell r="L73">
            <v>0.201898822869955</v>
          </cell>
          <cell r="M73">
            <v>2.3822869955157002E-3</v>
          </cell>
          <cell r="N73">
            <v>1</v>
          </cell>
          <cell r="O73">
            <v>8</v>
          </cell>
          <cell r="P73">
            <v>4</v>
          </cell>
          <cell r="Q73">
            <v>0</v>
          </cell>
        </row>
        <row r="74">
          <cell r="A74" t="str">
            <v>Hyd_Omprakash O (1008584)</v>
          </cell>
          <cell r="B74" t="str">
            <v>08:09:43</v>
          </cell>
          <cell r="C74" t="str">
            <v>04:02:05</v>
          </cell>
          <cell r="D74">
            <v>31</v>
          </cell>
          <cell r="E74">
            <v>0.67214252660805196</v>
          </cell>
          <cell r="F74">
            <v>0.47578531804104401</v>
          </cell>
          <cell r="G74">
            <v>0.48072014430112597</v>
          </cell>
          <cell r="H74">
            <v>0</v>
          </cell>
          <cell r="I74">
            <v>0.234489330565293</v>
          </cell>
          <cell r="J74">
            <v>1.3613313820916901E-2</v>
          </cell>
          <cell r="K74">
            <v>0</v>
          </cell>
          <cell r="L74">
            <v>0.26933941394684002</v>
          </cell>
          <cell r="M74">
            <v>1.8377973658237801E-3</v>
          </cell>
          <cell r="N74">
            <v>0</v>
          </cell>
          <cell r="O74">
            <v>1</v>
          </cell>
          <cell r="P74">
            <v>0</v>
          </cell>
          <cell r="Q74">
            <v>0</v>
          </cell>
        </row>
        <row r="75">
          <cell r="A75" t="str">
            <v>Hyd_Owais Mohd (1008585)</v>
          </cell>
          <cell r="B75" t="str">
            <v>08:01:11</v>
          </cell>
          <cell r="C75" t="str">
            <v>04:02:50</v>
          </cell>
          <cell r="D75">
            <v>32</v>
          </cell>
          <cell r="E75">
            <v>0.72491168714861398</v>
          </cell>
          <cell r="F75">
            <v>0.46898271622042897</v>
          </cell>
          <cell r="G75">
            <v>0.48404973849191202</v>
          </cell>
          <cell r="H75">
            <v>0</v>
          </cell>
          <cell r="I75">
            <v>0.187870181150636</v>
          </cell>
          <cell r="J75">
            <v>2.0608915520764801E-2</v>
          </cell>
          <cell r="K75">
            <v>0</v>
          </cell>
          <cell r="L75">
            <v>0.304319213051159</v>
          </cell>
          <cell r="M75">
            <v>3.1519517855287298E-3</v>
          </cell>
          <cell r="N75">
            <v>0</v>
          </cell>
          <cell r="O75">
            <v>3</v>
          </cell>
          <cell r="P75">
            <v>0</v>
          </cell>
          <cell r="Q75">
            <v>1</v>
          </cell>
        </row>
        <row r="76">
          <cell r="A76" t="str">
            <v>Hyd_Pankaj Shelkey (1008586)</v>
          </cell>
          <cell r="B76" t="str">
            <v>08:15:54</v>
          </cell>
          <cell r="C76" t="str">
            <v>04:26:54</v>
          </cell>
          <cell r="D76">
            <v>33</v>
          </cell>
          <cell r="E76">
            <v>0.70116905293576803</v>
          </cell>
          <cell r="F76">
            <v>0.51361161524500898</v>
          </cell>
          <cell r="G76">
            <v>0.52060227196343301</v>
          </cell>
          <cell r="H76">
            <v>2.0501445183840799E-3</v>
          </cell>
          <cell r="I76">
            <v>0.21583652618135399</v>
          </cell>
          <cell r="J76">
            <v>2.3156550379780899E-2</v>
          </cell>
          <cell r="K76">
            <v>0</v>
          </cell>
          <cell r="L76">
            <v>0.23277542515292099</v>
          </cell>
          <cell r="M76">
            <v>5.5790818041271803E-3</v>
          </cell>
          <cell r="N76">
            <v>2</v>
          </cell>
          <cell r="O76">
            <v>1</v>
          </cell>
          <cell r="P76">
            <v>1</v>
          </cell>
          <cell r="Q76">
            <v>0</v>
          </cell>
        </row>
        <row r="77">
          <cell r="A77" t="str">
            <v>Hyd_Partha Sarathi (1008587)</v>
          </cell>
          <cell r="B77" t="str">
            <v>08:32:22</v>
          </cell>
          <cell r="C77" t="str">
            <v>05:11:39</v>
          </cell>
          <cell r="D77">
            <v>34</v>
          </cell>
          <cell r="E77">
            <v>0.75159773302785504</v>
          </cell>
          <cell r="F77">
            <v>0.525112224318522</v>
          </cell>
          <cell r="G77">
            <v>0.55123284106434201</v>
          </cell>
          <cell r="H77">
            <v>5.4323075922191096E-3</v>
          </cell>
          <cell r="I77">
            <v>0.196603994535164</v>
          </cell>
          <cell r="J77">
            <v>5.1590657732092898E-2</v>
          </cell>
          <cell r="K77">
            <v>0</v>
          </cell>
          <cell r="L77">
            <v>0.19263548240192599</v>
          </cell>
          <cell r="M77">
            <v>2.50471667425672E-3</v>
          </cell>
          <cell r="N77">
            <v>3</v>
          </cell>
          <cell r="O77">
            <v>12</v>
          </cell>
          <cell r="P77">
            <v>2</v>
          </cell>
          <cell r="Q77">
            <v>0</v>
          </cell>
        </row>
        <row r="78">
          <cell r="A78" t="str">
            <v>Hyd_Prabha Desikan (1008588)</v>
          </cell>
          <cell r="B78" t="str">
            <v>08:21:49</v>
          </cell>
          <cell r="C78" t="str">
            <v>03:03:51</v>
          </cell>
          <cell r="D78">
            <v>35</v>
          </cell>
          <cell r="E78">
            <v>0.73398097012442598</v>
          </cell>
          <cell r="F78">
            <v>0.348600086352918</v>
          </cell>
          <cell r="G78">
            <v>0.348600086352918</v>
          </cell>
          <cell r="H78">
            <v>0</v>
          </cell>
          <cell r="I78">
            <v>0.13109037164967299</v>
          </cell>
          <cell r="J78">
            <v>1.7768773456441601E-2</v>
          </cell>
          <cell r="K78">
            <v>0</v>
          </cell>
          <cell r="L78">
            <v>0.501046198810987</v>
          </cell>
          <cell r="M78">
            <v>1.49456972998107E-3</v>
          </cell>
          <cell r="N78">
            <v>0</v>
          </cell>
          <cell r="O78">
            <v>3</v>
          </cell>
          <cell r="P78">
            <v>0</v>
          </cell>
          <cell r="Q78">
            <v>0</v>
          </cell>
        </row>
        <row r="79">
          <cell r="A79" t="str">
            <v>Hyd_Pramod Tiwari (1008589)</v>
          </cell>
          <cell r="B79" t="str">
            <v>08:25:20</v>
          </cell>
          <cell r="C79" t="str">
            <v>02:54:03</v>
          </cell>
          <cell r="D79">
            <v>36</v>
          </cell>
          <cell r="E79">
            <v>0.71205509341333695</v>
          </cell>
          <cell r="F79">
            <v>0.314709762532982</v>
          </cell>
          <cell r="G79">
            <v>0.323779683377309</v>
          </cell>
          <cell r="H79">
            <v>3.2981530343007901E-5</v>
          </cell>
          <cell r="I79">
            <v>0.137598944591029</v>
          </cell>
          <cell r="J79">
            <v>2.0613456464379901E-2</v>
          </cell>
          <cell r="K79">
            <v>0</v>
          </cell>
          <cell r="L79">
            <v>0.51668865435356204</v>
          </cell>
          <cell r="M79">
            <v>1.28627968337731E-3</v>
          </cell>
          <cell r="N79">
            <v>1</v>
          </cell>
          <cell r="O79">
            <v>1</v>
          </cell>
          <cell r="P79">
            <v>0</v>
          </cell>
          <cell r="Q79">
            <v>1</v>
          </cell>
        </row>
        <row r="80">
          <cell r="A80" t="str">
            <v>Hyd_Prasannakumari S (1008590)</v>
          </cell>
          <cell r="B80" t="str">
            <v>08:08:02</v>
          </cell>
          <cell r="C80" t="str">
            <v>05:10:46</v>
          </cell>
          <cell r="D80">
            <v>37</v>
          </cell>
          <cell r="E80">
            <v>0.74354986641145304</v>
          </cell>
          <cell r="F80">
            <v>0.55600710333993597</v>
          </cell>
          <cell r="G80">
            <v>0.56334949798511003</v>
          </cell>
          <cell r="H80">
            <v>6.8301345536507104E-5</v>
          </cell>
          <cell r="I80">
            <v>0.216378662659654</v>
          </cell>
          <cell r="J80">
            <v>7.3355645106208595E-2</v>
          </cell>
          <cell r="K80">
            <v>0</v>
          </cell>
          <cell r="L80">
            <v>0.144286592445871</v>
          </cell>
          <cell r="M80">
            <v>2.5613004576190198E-3</v>
          </cell>
          <cell r="N80">
            <v>1</v>
          </cell>
          <cell r="O80">
            <v>12</v>
          </cell>
          <cell r="P80">
            <v>0</v>
          </cell>
          <cell r="Q80">
            <v>0</v>
          </cell>
        </row>
        <row r="81">
          <cell r="A81" t="str">
            <v>Hyd_Praveen Kumar (1008591)</v>
          </cell>
          <cell r="B81" t="str">
            <v>08:19:20</v>
          </cell>
          <cell r="C81" t="str">
            <v>04:08:46</v>
          </cell>
          <cell r="D81">
            <v>38</v>
          </cell>
          <cell r="E81">
            <v>0.72713986456861701</v>
          </cell>
          <cell r="F81">
            <v>0.46221628838451301</v>
          </cell>
          <cell r="G81">
            <v>0.46929238985313698</v>
          </cell>
          <cell r="H81">
            <v>1.0013351134846499E-4</v>
          </cell>
          <cell r="I81">
            <v>0.17523364485981299</v>
          </cell>
          <cell r="J81">
            <v>2.8805073431241699E-2</v>
          </cell>
          <cell r="K81">
            <v>0</v>
          </cell>
          <cell r="L81">
            <v>0.31535380507343103</v>
          </cell>
          <cell r="M81">
            <v>1.1214953271028E-2</v>
          </cell>
          <cell r="N81">
            <v>2</v>
          </cell>
          <cell r="O81">
            <v>5</v>
          </cell>
          <cell r="P81">
            <v>0</v>
          </cell>
          <cell r="Q81">
            <v>1</v>
          </cell>
        </row>
        <row r="82">
          <cell r="A82" t="str">
            <v>Hyd_Rachel Mathew (1008592)</v>
          </cell>
          <cell r="B82" t="str">
            <v>08:25:36</v>
          </cell>
          <cell r="C82" t="str">
            <v>03:40:53</v>
          </cell>
          <cell r="D82">
            <v>39</v>
          </cell>
          <cell r="E82">
            <v>0.72254934031185303</v>
          </cell>
          <cell r="F82">
            <v>0.39075685654008402</v>
          </cell>
          <cell r="G82">
            <v>0.39481144514767902</v>
          </cell>
          <cell r="H82">
            <v>1.8130274261603399E-3</v>
          </cell>
          <cell r="I82">
            <v>0.16561181434599101</v>
          </cell>
          <cell r="J82">
            <v>4.02492088607595E-2</v>
          </cell>
          <cell r="K82">
            <v>0</v>
          </cell>
          <cell r="L82">
            <v>0.39560258438818602</v>
          </cell>
          <cell r="M82">
            <v>1.9119198312236301E-3</v>
          </cell>
          <cell r="N82">
            <v>3</v>
          </cell>
          <cell r="O82">
            <v>5</v>
          </cell>
          <cell r="P82">
            <v>1</v>
          </cell>
          <cell r="Q82">
            <v>0</v>
          </cell>
        </row>
        <row r="83">
          <cell r="A83" t="str">
            <v>Hyd_Rachita Anupam (1008593)</v>
          </cell>
          <cell r="B83" t="str">
            <v>08:16:26</v>
          </cell>
          <cell r="C83" t="str">
            <v>05:16:03</v>
          </cell>
          <cell r="D83">
            <v>40</v>
          </cell>
          <cell r="E83">
            <v>0.73840582531832899</v>
          </cell>
          <cell r="F83">
            <v>0.54713623850130899</v>
          </cell>
          <cell r="G83">
            <v>0.55885315248774603</v>
          </cell>
          <cell r="H83">
            <v>3.05512656952931E-3</v>
          </cell>
          <cell r="I83">
            <v>0.21963338481165601</v>
          </cell>
          <cell r="J83">
            <v>7.4733096085409303E-2</v>
          </cell>
          <cell r="K83">
            <v>0</v>
          </cell>
          <cell r="L83">
            <v>0.13805143355939001</v>
          </cell>
          <cell r="M83">
            <v>5.6738064862687197E-3</v>
          </cell>
          <cell r="N83">
            <v>0</v>
          </cell>
          <cell r="O83">
            <v>8</v>
          </cell>
          <cell r="P83">
            <v>1</v>
          </cell>
          <cell r="Q83">
            <v>0</v>
          </cell>
        </row>
        <row r="84">
          <cell r="A84" t="str">
            <v>Hyd_Rachna Chauhan (1008594)</v>
          </cell>
          <cell r="B84" t="str">
            <v>07:36:07</v>
          </cell>
          <cell r="C84" t="str">
            <v>05:07:23</v>
          </cell>
          <cell r="D84">
            <v>41</v>
          </cell>
          <cell r="E84">
            <v>0.72135956506434096</v>
          </cell>
          <cell r="F84">
            <v>0.61457229509993805</v>
          </cell>
          <cell r="G84">
            <v>0.61786092739430698</v>
          </cell>
          <cell r="H84">
            <v>1.46161435305295E-4</v>
          </cell>
          <cell r="I84">
            <v>0.256294076807834</v>
          </cell>
          <cell r="J84">
            <v>5.5906749004275197E-2</v>
          </cell>
          <cell r="K84">
            <v>0</v>
          </cell>
          <cell r="L84">
            <v>6.6503453063909104E-2</v>
          </cell>
          <cell r="M84">
            <v>3.2886322943691299E-3</v>
          </cell>
          <cell r="N84">
            <v>4</v>
          </cell>
          <cell r="O84">
            <v>6</v>
          </cell>
          <cell r="P84">
            <v>0</v>
          </cell>
          <cell r="Q84">
            <v>0</v>
          </cell>
        </row>
        <row r="85">
          <cell r="A85" t="str">
            <v>Hyd_Raj Kumar (1008595)</v>
          </cell>
          <cell r="B85" t="str">
            <v>08:09:57</v>
          </cell>
          <cell r="C85" t="str">
            <v>05:03:51</v>
          </cell>
          <cell r="D85">
            <v>42</v>
          </cell>
          <cell r="E85">
            <v>0.71945540647198103</v>
          </cell>
          <cell r="F85">
            <v>0.55335578460387103</v>
          </cell>
          <cell r="G85">
            <v>0.56638432493111501</v>
          </cell>
          <cell r="H85">
            <v>2.0410245943463601E-4</v>
          </cell>
          <cell r="I85">
            <v>0.23444569173725199</v>
          </cell>
          <cell r="J85">
            <v>5.3576895601591998E-2</v>
          </cell>
          <cell r="K85">
            <v>0</v>
          </cell>
          <cell r="L85">
            <v>0.14028642378473999</v>
          </cell>
          <cell r="M85">
            <v>5.1025614858658998E-3</v>
          </cell>
          <cell r="N85">
            <v>1</v>
          </cell>
          <cell r="O85">
            <v>7</v>
          </cell>
          <cell r="P85">
            <v>0</v>
          </cell>
          <cell r="Q85">
            <v>0</v>
          </cell>
        </row>
        <row r="86">
          <cell r="A86" t="str">
            <v>Hyd_Rajeev Garg (1008596)</v>
          </cell>
          <cell r="B86" t="str">
            <v>08:04:00</v>
          </cell>
          <cell r="C86" t="str">
            <v>05:05:29</v>
          </cell>
          <cell r="D86">
            <v>43</v>
          </cell>
          <cell r="E86">
            <v>0.729077167859984</v>
          </cell>
          <cell r="F86">
            <v>0.611363636363636</v>
          </cell>
          <cell r="G86">
            <v>0.61907713498622596</v>
          </cell>
          <cell r="H86">
            <v>0</v>
          </cell>
          <cell r="I86">
            <v>0.22534435261708</v>
          </cell>
          <cell r="J86">
            <v>1.20867768595041E-2</v>
          </cell>
          <cell r="K86">
            <v>0</v>
          </cell>
          <cell r="L86">
            <v>0.14132231404958701</v>
          </cell>
          <cell r="M86">
            <v>2.1694214876033001E-3</v>
          </cell>
          <cell r="N86">
            <v>2</v>
          </cell>
          <cell r="O86">
            <v>1</v>
          </cell>
          <cell r="P86">
            <v>0</v>
          </cell>
          <cell r="Q86">
            <v>0</v>
          </cell>
        </row>
        <row r="87">
          <cell r="A87" t="str">
            <v>Hyd_Rajeev Kumar (1008597)</v>
          </cell>
          <cell r="B87" t="str">
            <v>07:59:43</v>
          </cell>
          <cell r="C87" t="str">
            <v>04:28:51</v>
          </cell>
          <cell r="D87">
            <v>44</v>
          </cell>
          <cell r="E87">
            <v>0.70183605986773401</v>
          </cell>
          <cell r="F87">
            <v>0.51217732689434703</v>
          </cell>
          <cell r="G87">
            <v>0.53271028037383195</v>
          </cell>
          <cell r="H87">
            <v>2.7446756766146699E-3</v>
          </cell>
          <cell r="I87">
            <v>0.23548622450752199</v>
          </cell>
          <cell r="J87">
            <v>2.4980022930201899E-2</v>
          </cell>
          <cell r="K87">
            <v>0</v>
          </cell>
          <cell r="L87">
            <v>0.202411145467811</v>
          </cell>
          <cell r="M87">
            <v>1.66765104401904E-3</v>
          </cell>
          <cell r="N87">
            <v>2</v>
          </cell>
          <cell r="O87">
            <v>4</v>
          </cell>
          <cell r="P87">
            <v>1</v>
          </cell>
          <cell r="Q87">
            <v>0</v>
          </cell>
        </row>
        <row r="88">
          <cell r="A88" t="str">
            <v>Hyd_Rajendra Gupta (1008598)</v>
          </cell>
          <cell r="B88" t="str">
            <v>08:25:57</v>
          </cell>
          <cell r="C88" t="str">
            <v>04:58:12</v>
          </cell>
          <cell r="D88">
            <v>45</v>
          </cell>
          <cell r="E88">
            <v>0.69814265646948603</v>
          </cell>
          <cell r="F88">
            <v>0.56029910728991705</v>
          </cell>
          <cell r="G88">
            <v>0.57551800243765805</v>
          </cell>
          <cell r="H88">
            <v>5.6000263530651896E-4</v>
          </cell>
          <cell r="I88">
            <v>0.24989294067266199</v>
          </cell>
          <cell r="J88">
            <v>1.3308297921402E-2</v>
          </cell>
          <cell r="K88">
            <v>0</v>
          </cell>
          <cell r="L88">
            <v>0.15640544190796199</v>
          </cell>
          <cell r="M88">
            <v>4.3153144250090598E-3</v>
          </cell>
          <cell r="N88">
            <v>1</v>
          </cell>
          <cell r="O88">
            <v>1</v>
          </cell>
          <cell r="P88">
            <v>0</v>
          </cell>
          <cell r="Q88">
            <v>0</v>
          </cell>
        </row>
        <row r="89">
          <cell r="A89" t="str">
            <v>Hyd_Rajendra Kumar (1008599)</v>
          </cell>
          <cell r="B89" t="str">
            <v>08:14:44</v>
          </cell>
          <cell r="C89" t="str">
            <v>03:55:22</v>
          </cell>
          <cell r="D89">
            <v>46</v>
          </cell>
          <cell r="E89">
            <v>0.68410599234607405</v>
          </cell>
          <cell r="F89">
            <v>0.42891793558819602</v>
          </cell>
          <cell r="G89">
            <v>0.44444818757579801</v>
          </cell>
          <cell r="H89">
            <v>2.0212909311413601E-4</v>
          </cell>
          <cell r="I89">
            <v>0.21048376229618601</v>
          </cell>
          <cell r="J89">
            <v>3.10941921573912E-2</v>
          </cell>
          <cell r="K89">
            <v>0</v>
          </cell>
          <cell r="L89">
            <v>0.31181781431074002</v>
          </cell>
          <cell r="M89">
            <v>1.9539145667699801E-3</v>
          </cell>
          <cell r="N89">
            <v>1</v>
          </cell>
          <cell r="O89">
            <v>4</v>
          </cell>
          <cell r="P89">
            <v>0</v>
          </cell>
          <cell r="Q89">
            <v>0</v>
          </cell>
        </row>
        <row r="90">
          <cell r="A90" t="str">
            <v>Hyd_Rajendra Prasad (1008600)</v>
          </cell>
          <cell r="B90" t="str">
            <v>08:22:34</v>
          </cell>
          <cell r="C90" t="str">
            <v>00:48:33</v>
          </cell>
          <cell r="D90">
            <v>47</v>
          </cell>
          <cell r="E90">
            <v>0.64120625137574305</v>
          </cell>
          <cell r="F90">
            <v>9.4547987000066294E-2</v>
          </cell>
          <cell r="G90">
            <v>9.4547987000066294E-2</v>
          </cell>
          <cell r="H90">
            <v>0</v>
          </cell>
          <cell r="I90">
            <v>4.6428334549313499E-2</v>
          </cell>
          <cell r="J90">
            <v>2.05611195861246E-3</v>
          </cell>
          <cell r="K90">
            <v>0</v>
          </cell>
          <cell r="L90">
            <v>0.85225840684486298</v>
          </cell>
          <cell r="M90">
            <v>4.70915964714466E-3</v>
          </cell>
          <cell r="N90">
            <v>1</v>
          </cell>
          <cell r="O90">
            <v>0</v>
          </cell>
          <cell r="P90">
            <v>0</v>
          </cell>
          <cell r="Q90">
            <v>0</v>
          </cell>
        </row>
        <row r="91">
          <cell r="A91" t="str">
            <v>Hyd_Rajesh Kumar (1008601)</v>
          </cell>
          <cell r="B91" t="str">
            <v>08:00:39</v>
          </cell>
          <cell r="C91" t="str">
            <v>05:11:50</v>
          </cell>
          <cell r="D91">
            <v>48</v>
          </cell>
          <cell r="E91">
            <v>0.76121892672606695</v>
          </cell>
          <cell r="F91">
            <v>0.61021533340268397</v>
          </cell>
          <cell r="G91">
            <v>0.61770519088733999</v>
          </cell>
          <cell r="H91">
            <v>2.01116543569472E-3</v>
          </cell>
          <cell r="I91">
            <v>0.19428551614133599</v>
          </cell>
          <cell r="J91">
            <v>2.9057873019175399E-2</v>
          </cell>
          <cell r="K91">
            <v>0</v>
          </cell>
          <cell r="L91">
            <v>0.149935850757655</v>
          </cell>
          <cell r="M91">
            <v>7.0044037587988503E-3</v>
          </cell>
          <cell r="N91">
            <v>1</v>
          </cell>
          <cell r="O91">
            <v>5</v>
          </cell>
          <cell r="P91">
            <v>1</v>
          </cell>
          <cell r="Q91">
            <v>0</v>
          </cell>
        </row>
        <row r="92">
          <cell r="A92" t="str">
            <v>Hyd_Rajesh Kumar (1008602)</v>
          </cell>
          <cell r="B92" t="str">
            <v>08:17:39</v>
          </cell>
          <cell r="C92" t="str">
            <v>04:49:40</v>
          </cell>
          <cell r="D92">
            <v>49</v>
          </cell>
          <cell r="E92">
            <v>0.771724168553794</v>
          </cell>
          <cell r="F92">
            <v>0.51260926353863201</v>
          </cell>
          <cell r="G92">
            <v>0.53709099434006502</v>
          </cell>
          <cell r="H92">
            <v>0</v>
          </cell>
          <cell r="I92">
            <v>0.15596637529723001</v>
          </cell>
          <cell r="J92">
            <v>4.4978063565424199E-2</v>
          </cell>
          <cell r="K92">
            <v>0</v>
          </cell>
          <cell r="L92">
            <v>0.25436216886030999</v>
          </cell>
          <cell r="M92">
            <v>7.6023979369704304E-3</v>
          </cell>
          <cell r="N92">
            <v>3</v>
          </cell>
          <cell r="O92">
            <v>8</v>
          </cell>
          <cell r="P92">
            <v>0</v>
          </cell>
          <cell r="Q92">
            <v>1</v>
          </cell>
        </row>
        <row r="93">
          <cell r="A93" t="str">
            <v>Hyd_Rajesh Sharma (1008603)</v>
          </cell>
          <cell r="B93" t="str">
            <v>05:04:31</v>
          </cell>
          <cell r="C93" t="str">
            <v>03:24:21</v>
          </cell>
          <cell r="D93">
            <v>50</v>
          </cell>
          <cell r="E93">
            <v>0.70603478060578095</v>
          </cell>
          <cell r="F93">
            <v>0.62426796562859199</v>
          </cell>
          <cell r="G93">
            <v>0.62596464342400504</v>
          </cell>
          <cell r="H93">
            <v>0</v>
          </cell>
          <cell r="I93">
            <v>0.243883750205243</v>
          </cell>
          <cell r="J93">
            <v>4.50987904329265E-2</v>
          </cell>
          <cell r="K93">
            <v>0</v>
          </cell>
          <cell r="L93">
            <v>8.0291171802309699E-2</v>
          </cell>
          <cell r="M93">
            <v>4.7616441355153001E-3</v>
          </cell>
          <cell r="N93">
            <v>1</v>
          </cell>
          <cell r="O93">
            <v>4</v>
          </cell>
          <cell r="P93">
            <v>0</v>
          </cell>
          <cell r="Q93">
            <v>0</v>
          </cell>
        </row>
        <row r="94">
          <cell r="A94" t="str">
            <v>Hyd_Raji Abraham (1008604)</v>
          </cell>
          <cell r="B94" t="str">
            <v>08:10:41</v>
          </cell>
          <cell r="C94" t="str">
            <v>04:44:35</v>
          </cell>
          <cell r="D94">
            <v>51</v>
          </cell>
          <cell r="E94">
            <v>0.67540840947747305</v>
          </cell>
          <cell r="F94">
            <v>0.54373153085832704</v>
          </cell>
          <cell r="G94">
            <v>0.55762372202031196</v>
          </cell>
          <cell r="H94">
            <v>3.3966237559865503E-5</v>
          </cell>
          <cell r="I94">
            <v>0.27590774769878701</v>
          </cell>
          <cell r="J94">
            <v>2.2315818076831601E-2</v>
          </cell>
          <cell r="K94">
            <v>0</v>
          </cell>
          <cell r="L94">
            <v>0.141571278149519</v>
          </cell>
          <cell r="M94">
            <v>2.5474678169899101E-3</v>
          </cell>
          <cell r="N94">
            <v>2</v>
          </cell>
          <cell r="O94">
            <v>3</v>
          </cell>
          <cell r="P94">
            <v>0</v>
          </cell>
          <cell r="Q94">
            <v>0</v>
          </cell>
        </row>
        <row r="95">
          <cell r="A95" t="str">
            <v>Hyd_Rajshree Dhabekar (1008605)</v>
          </cell>
          <cell r="B95" t="str">
            <v>08:15:13</v>
          </cell>
          <cell r="C95" t="str">
            <v>0</v>
          </cell>
          <cell r="D95">
            <v>52</v>
          </cell>
          <cell r="G95">
            <v>0</v>
          </cell>
          <cell r="H95">
            <v>0</v>
          </cell>
          <cell r="I95">
            <v>1.34621209571568E-4</v>
          </cell>
          <cell r="J95">
            <v>0</v>
          </cell>
          <cell r="K95">
            <v>0</v>
          </cell>
          <cell r="L95">
            <v>0.99986537879042803</v>
          </cell>
          <cell r="M95">
            <v>0</v>
          </cell>
          <cell r="N95" t="str">
            <v>0</v>
          </cell>
          <cell r="O95" t="str">
            <v>0</v>
          </cell>
          <cell r="P95" t="str">
            <v>0</v>
          </cell>
          <cell r="Q95" t="str">
            <v>0</v>
          </cell>
        </row>
        <row r="96">
          <cell r="A96" t="str">
            <v>Hyd_Rakhi Jodhani (1008606)</v>
          </cell>
          <cell r="B96" t="str">
            <v>08:02:52</v>
          </cell>
          <cell r="C96" t="str">
            <v>01:13:06</v>
          </cell>
          <cell r="D96">
            <v>53</v>
          </cell>
          <cell r="E96">
            <v>0.87790232185748596</v>
          </cell>
          <cell r="F96">
            <v>0.14431174927516199</v>
          </cell>
          <cell r="G96">
            <v>0.148936904597542</v>
          </cell>
          <cell r="H96">
            <v>0</v>
          </cell>
          <cell r="I96">
            <v>1.6360624050807699E-2</v>
          </cell>
          <cell r="J96">
            <v>2.45064199917161E-3</v>
          </cell>
          <cell r="K96">
            <v>0</v>
          </cell>
          <cell r="L96">
            <v>0.82783377053706997</v>
          </cell>
          <cell r="M96">
            <v>4.4180588154079797E-3</v>
          </cell>
          <cell r="N96">
            <v>1</v>
          </cell>
          <cell r="O96">
            <v>0</v>
          </cell>
          <cell r="P96">
            <v>0</v>
          </cell>
          <cell r="Q96">
            <v>0</v>
          </cell>
        </row>
        <row r="97">
          <cell r="A97" t="str">
            <v>Hyd_Ramji Prasad (1008607)</v>
          </cell>
          <cell r="B97" t="str">
            <v>08:19:26</v>
          </cell>
          <cell r="C97" t="str">
            <v>04:53:04</v>
          </cell>
          <cell r="D97">
            <v>54</v>
          </cell>
          <cell r="E97">
            <v>0.68049535603715205</v>
          </cell>
          <cell r="F97">
            <v>0.55259293866381898</v>
          </cell>
          <cell r="G97">
            <v>0.56517386371220701</v>
          </cell>
          <cell r="H97">
            <v>5.3393846359207095E-4</v>
          </cell>
          <cell r="I97">
            <v>0.26326503370486498</v>
          </cell>
          <cell r="J97">
            <v>2.1090569311886801E-2</v>
          </cell>
          <cell r="K97">
            <v>0</v>
          </cell>
          <cell r="L97">
            <v>0.14770072749115701</v>
          </cell>
          <cell r="M97">
            <v>2.2358673162917999E-3</v>
          </cell>
          <cell r="N97">
            <v>4</v>
          </cell>
          <cell r="O97">
            <v>4</v>
          </cell>
          <cell r="P97">
            <v>0</v>
          </cell>
          <cell r="Q97">
            <v>0</v>
          </cell>
        </row>
        <row r="98">
          <cell r="A98" t="str">
            <v>Del_Rashid (1008608)</v>
          </cell>
          <cell r="B98" t="str">
            <v>08:02:10</v>
          </cell>
          <cell r="C98" t="str">
            <v>01:36:08</v>
          </cell>
          <cell r="D98">
            <v>55</v>
          </cell>
          <cell r="E98">
            <v>0.70085054678007297</v>
          </cell>
          <cell r="F98">
            <v>0.18938817836156199</v>
          </cell>
          <cell r="G98">
            <v>0.19450397511233999</v>
          </cell>
          <cell r="H98">
            <v>5.1849291393017596E-4</v>
          </cell>
          <cell r="I98">
            <v>8.3961285862426502E-2</v>
          </cell>
          <cell r="J98">
            <v>4.35534047701348E-3</v>
          </cell>
          <cell r="K98">
            <v>0</v>
          </cell>
          <cell r="L98">
            <v>0.71596958174904901</v>
          </cell>
          <cell r="M98">
            <v>6.9132388524023505E-4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</row>
        <row r="99">
          <cell r="A99" t="str">
            <v>Del_Rashmi Gajbe (1008609)</v>
          </cell>
          <cell r="B99" t="str">
            <v>08:20:42</v>
          </cell>
          <cell r="C99" t="str">
            <v>04:16:57</v>
          </cell>
          <cell r="D99">
            <v>56</v>
          </cell>
          <cell r="E99">
            <v>0.68072235959025096</v>
          </cell>
          <cell r="F99">
            <v>0.47077424938419499</v>
          </cell>
          <cell r="G99">
            <v>0.47776446308501402</v>
          </cell>
          <cell r="H99">
            <v>2.39664469742361E-3</v>
          </cell>
          <cell r="I99">
            <v>0.23280740296917601</v>
          </cell>
          <cell r="J99">
            <v>3.3020438053391901E-2</v>
          </cell>
          <cell r="K99">
            <v>0</v>
          </cell>
          <cell r="L99">
            <v>0.24958391585114201</v>
          </cell>
          <cell r="M99">
            <v>4.4271353438519404E-3</v>
          </cell>
          <cell r="N99">
            <v>0</v>
          </cell>
          <cell r="O99">
            <v>5</v>
          </cell>
          <cell r="P99">
            <v>1</v>
          </cell>
          <cell r="Q99">
            <v>1</v>
          </cell>
        </row>
        <row r="100">
          <cell r="A100" t="str">
            <v>Del_Ravi Kumar (1008610)</v>
          </cell>
          <cell r="B100" t="str">
            <v>08:00:44</v>
          </cell>
          <cell r="C100" t="str">
            <v>04:47:03</v>
          </cell>
          <cell r="D100">
            <v>57</v>
          </cell>
          <cell r="E100">
            <v>0.69796563462473704</v>
          </cell>
          <cell r="F100">
            <v>0.53862155040909698</v>
          </cell>
          <cell r="G100">
            <v>0.54503536264040997</v>
          </cell>
          <cell r="H100">
            <v>1.9761475523505799E-3</v>
          </cell>
          <cell r="I100">
            <v>0.251768132020524</v>
          </cell>
          <cell r="J100">
            <v>5.0097073914852297E-2</v>
          </cell>
          <cell r="K100">
            <v>0</v>
          </cell>
          <cell r="L100">
            <v>0.14817639717098899</v>
          </cell>
          <cell r="M100">
            <v>2.94688670087366E-3</v>
          </cell>
          <cell r="N100">
            <v>0</v>
          </cell>
          <cell r="O100">
            <v>6</v>
          </cell>
          <cell r="P100">
            <v>0</v>
          </cell>
          <cell r="Q100">
            <v>2</v>
          </cell>
        </row>
        <row r="101">
          <cell r="A101" t="str">
            <v>Del_Ravinder Kaur (1008611)</v>
          </cell>
          <cell r="B101" t="str">
            <v>08:01:53</v>
          </cell>
          <cell r="C101" t="str">
            <v>04:38:57</v>
          </cell>
          <cell r="D101">
            <v>58</v>
          </cell>
          <cell r="E101">
            <v>0.67621510242010396</v>
          </cell>
          <cell r="F101">
            <v>0.53294365856189296</v>
          </cell>
          <cell r="G101">
            <v>0.54141735551481995</v>
          </cell>
          <cell r="H101">
            <v>7.2631688167952102E-4</v>
          </cell>
          <cell r="I101">
            <v>0.27454778127485902</v>
          </cell>
          <cell r="J101">
            <v>3.6730882302078598E-2</v>
          </cell>
          <cell r="K101">
            <v>0</v>
          </cell>
          <cell r="L101">
            <v>0.14415660775429701</v>
          </cell>
          <cell r="M101">
            <v>2.4210562722650699E-3</v>
          </cell>
          <cell r="N101">
            <v>3</v>
          </cell>
          <cell r="O101">
            <v>8</v>
          </cell>
          <cell r="P101">
            <v>0</v>
          </cell>
          <cell r="Q101">
            <v>2</v>
          </cell>
        </row>
        <row r="102">
          <cell r="A102" t="str">
            <v>Del_Rekha Agarwal (1008612)</v>
          </cell>
          <cell r="B102" t="str">
            <v>05:53:52</v>
          </cell>
          <cell r="C102" t="str">
            <v>02:53:07</v>
          </cell>
          <cell r="D102">
            <v>59</v>
          </cell>
          <cell r="E102">
            <v>0.87051625879986605</v>
          </cell>
          <cell r="F102">
            <v>0.41310286360211002</v>
          </cell>
          <cell r="G102">
            <v>0.42214581763376002</v>
          </cell>
          <cell r="H102">
            <v>1.8745290128108501E-2</v>
          </cell>
          <cell r="I102">
            <v>4.95007535795026E-2</v>
          </cell>
          <cell r="J102">
            <v>4.8323285606631503E-2</v>
          </cell>
          <cell r="K102">
            <v>0</v>
          </cell>
          <cell r="L102">
            <v>0.45695177091183098</v>
          </cell>
          <cell r="M102">
            <v>4.3330821401657898E-3</v>
          </cell>
          <cell r="N102">
            <v>0</v>
          </cell>
          <cell r="O102">
            <v>6</v>
          </cell>
          <cell r="P102">
            <v>2</v>
          </cell>
          <cell r="Q102">
            <v>0</v>
          </cell>
        </row>
        <row r="103">
          <cell r="A103" t="str">
            <v>Del_Rekha Gupta (1008613)</v>
          </cell>
          <cell r="B103" t="str">
            <v>08:16:02</v>
          </cell>
          <cell r="C103" t="str">
            <v>04:22:52</v>
          </cell>
          <cell r="D103">
            <v>60</v>
          </cell>
          <cell r="E103">
            <v>0.68126646797114598</v>
          </cell>
          <cell r="F103">
            <v>0.50483838451717</v>
          </cell>
          <cell r="G103">
            <v>0.51501915193871395</v>
          </cell>
          <cell r="H103">
            <v>1.3439956992137599E-4</v>
          </cell>
          <cell r="I103">
            <v>0.24420401854714099</v>
          </cell>
          <cell r="J103">
            <v>1.4783952691351399E-2</v>
          </cell>
          <cell r="K103">
            <v>0</v>
          </cell>
          <cell r="L103">
            <v>0.22300248639204401</v>
          </cell>
          <cell r="M103">
            <v>2.85599086082925E-3</v>
          </cell>
          <cell r="N103">
            <v>2</v>
          </cell>
          <cell r="O103">
            <v>1</v>
          </cell>
          <cell r="P103">
            <v>0</v>
          </cell>
          <cell r="Q103">
            <v>0</v>
          </cell>
        </row>
        <row r="104">
          <cell r="A104" t="str">
            <v>Del_Rekha Jain  (1008614)</v>
          </cell>
          <cell r="B104" t="str">
            <v>08:15:42</v>
          </cell>
          <cell r="C104" t="str">
            <v>04:25:29</v>
          </cell>
          <cell r="D104">
            <v>61</v>
          </cell>
          <cell r="E104">
            <v>0.66398499374739495</v>
          </cell>
          <cell r="F104">
            <v>0.52390558805729304</v>
          </cell>
          <cell r="G104">
            <v>0.52800753143702495</v>
          </cell>
          <cell r="H104">
            <v>0</v>
          </cell>
          <cell r="I104">
            <v>0.26605473740837898</v>
          </cell>
          <cell r="J104">
            <v>7.5650595118014899E-3</v>
          </cell>
          <cell r="K104">
            <v>0</v>
          </cell>
          <cell r="L104">
            <v>0.19558200524510799</v>
          </cell>
          <cell r="M104">
            <v>2.79066639768677E-3</v>
          </cell>
          <cell r="N104">
            <v>5</v>
          </cell>
          <cell r="O104">
            <v>0</v>
          </cell>
          <cell r="P104">
            <v>0</v>
          </cell>
          <cell r="Q104">
            <v>0</v>
          </cell>
        </row>
        <row r="105">
          <cell r="A105" t="str">
            <v>Del_Renu Pratap (1008615)</v>
          </cell>
          <cell r="B105" t="str">
            <v>08:16:30</v>
          </cell>
          <cell r="C105" t="str">
            <v>02:30:29</v>
          </cell>
          <cell r="D105">
            <v>62</v>
          </cell>
          <cell r="E105">
            <v>0.79396763981709495</v>
          </cell>
          <cell r="F105">
            <v>0.25444780127559602</v>
          </cell>
          <cell r="G105">
            <v>0.27710641154749899</v>
          </cell>
          <cell r="H105">
            <v>0</v>
          </cell>
          <cell r="I105">
            <v>7.51258811681772E-2</v>
          </cell>
          <cell r="J105">
            <v>2.5981873111782499E-2</v>
          </cell>
          <cell r="K105">
            <v>0</v>
          </cell>
          <cell r="L105">
            <v>0.62017455521987197</v>
          </cell>
          <cell r="M105">
            <v>1.6112789526686799E-3</v>
          </cell>
          <cell r="N105">
            <v>1</v>
          </cell>
          <cell r="O105">
            <v>4</v>
          </cell>
          <cell r="P105">
            <v>0</v>
          </cell>
          <cell r="Q105">
            <v>1</v>
          </cell>
        </row>
        <row r="106">
          <cell r="A106" t="str">
            <v>Del_Ritu Bhatnagar (1008616)</v>
          </cell>
          <cell r="B106" t="str">
            <v>08:01:48</v>
          </cell>
          <cell r="C106" t="str">
            <v>04:52:13</v>
          </cell>
          <cell r="D106">
            <v>63</v>
          </cell>
          <cell r="E106">
            <v>0.71324546416076795</v>
          </cell>
          <cell r="F106">
            <v>0.55517503805174995</v>
          </cell>
          <cell r="G106">
            <v>0.56316590563165903</v>
          </cell>
          <cell r="H106">
            <v>0</v>
          </cell>
          <cell r="I106">
            <v>0.239380102393801</v>
          </cell>
          <cell r="J106">
            <v>4.3344402933444E-2</v>
          </cell>
          <cell r="K106">
            <v>0</v>
          </cell>
          <cell r="L106">
            <v>0.15220700152207001</v>
          </cell>
          <cell r="M106">
            <v>1.9025875190258801E-3</v>
          </cell>
          <cell r="N106">
            <v>3</v>
          </cell>
          <cell r="O106">
            <v>5</v>
          </cell>
          <cell r="P106">
            <v>0</v>
          </cell>
          <cell r="Q106">
            <v>1</v>
          </cell>
        </row>
        <row r="107">
          <cell r="A107" t="str">
            <v>Del_Rohit Nishchal (1008617)</v>
          </cell>
          <cell r="B107" t="str">
            <v>08:17:09</v>
          </cell>
          <cell r="D107">
            <v>64</v>
          </cell>
          <cell r="G107">
            <v>0</v>
          </cell>
          <cell r="H107">
            <v>0</v>
          </cell>
          <cell r="I107">
            <v>3.0171980287639502E-4</v>
          </cell>
          <cell r="J107">
            <v>0</v>
          </cell>
          <cell r="K107">
            <v>0</v>
          </cell>
          <cell r="L107">
            <v>0.99969828019712303</v>
          </cell>
          <cell r="M107">
            <v>0</v>
          </cell>
          <cell r="N107" t="str">
            <v>0</v>
          </cell>
          <cell r="O107" t="str">
            <v>0</v>
          </cell>
          <cell r="P107" t="str">
            <v>0</v>
          </cell>
          <cell r="Q107" t="str">
            <v>0</v>
          </cell>
        </row>
        <row r="108">
          <cell r="A108" t="str">
            <v>Del_Roli Bhatnagar (1008618)</v>
          </cell>
          <cell r="B108" t="str">
            <v>08:15:43</v>
          </cell>
          <cell r="C108" t="str">
            <v>04:08:30</v>
          </cell>
          <cell r="D108">
            <v>65</v>
          </cell>
          <cell r="E108">
            <v>0.67973558240255305</v>
          </cell>
          <cell r="F108">
            <v>0.477120667047709</v>
          </cell>
          <cell r="G108">
            <v>0.47967589012540801</v>
          </cell>
          <cell r="H108">
            <v>1.0758834011364001E-3</v>
          </cell>
          <cell r="I108">
            <v>0.23333221262145701</v>
          </cell>
          <cell r="J108">
            <v>2.0542648690448199E-2</v>
          </cell>
          <cell r="K108">
            <v>0</v>
          </cell>
          <cell r="L108">
            <v>0.26278452072756597</v>
          </cell>
          <cell r="M108">
            <v>2.5888444339844702E-3</v>
          </cell>
          <cell r="N108">
            <v>3</v>
          </cell>
          <cell r="O108">
            <v>3</v>
          </cell>
          <cell r="P108">
            <v>1</v>
          </cell>
          <cell r="Q108">
            <v>0</v>
          </cell>
        </row>
        <row r="109">
          <cell r="A109" t="str">
            <v>Del_Roma Rastogi (1008619)</v>
          </cell>
          <cell r="B109" t="str">
            <v>08:31:02</v>
          </cell>
          <cell r="C109" t="str">
            <v>05:35:38</v>
          </cell>
          <cell r="D109">
            <v>66</v>
          </cell>
          <cell r="E109">
            <v>0.73349116736477904</v>
          </cell>
          <cell r="F109">
            <v>0.61917030852521004</v>
          </cell>
          <cell r="G109">
            <v>0.62725849585806503</v>
          </cell>
          <cell r="H109">
            <v>8.80568782205988E-4</v>
          </cell>
          <cell r="I109">
            <v>0.23256799947818099</v>
          </cell>
          <cell r="J109">
            <v>2.86347922509947E-2</v>
          </cell>
          <cell r="K109">
            <v>0</v>
          </cell>
          <cell r="L109">
            <v>0.105244276302916</v>
          </cell>
          <cell r="M109">
            <v>5.4138673276368102E-3</v>
          </cell>
          <cell r="N109">
            <v>4</v>
          </cell>
          <cell r="O109">
            <v>4</v>
          </cell>
          <cell r="P109">
            <v>0</v>
          </cell>
          <cell r="Q109">
            <v>1</v>
          </cell>
        </row>
        <row r="110">
          <cell r="A110" t="str">
            <v>Del_Roohi Haider (1008620)</v>
          </cell>
          <cell r="B110" t="str">
            <v>08:00:11</v>
          </cell>
          <cell r="C110" t="str">
            <v>04:52:11</v>
          </cell>
          <cell r="D110">
            <v>67</v>
          </cell>
          <cell r="E110">
            <v>0.71079305870904996</v>
          </cell>
          <cell r="F110">
            <v>0.55305265350039901</v>
          </cell>
          <cell r="G110">
            <v>0.56457602998854595</v>
          </cell>
          <cell r="H110">
            <v>3.4708965325743603E-5</v>
          </cell>
          <cell r="I110">
            <v>0.24383048141334901</v>
          </cell>
          <cell r="J110">
            <v>4.3872132171739998E-2</v>
          </cell>
          <cell r="K110">
            <v>0</v>
          </cell>
          <cell r="L110">
            <v>0.14452813161639599</v>
          </cell>
          <cell r="M110">
            <v>3.1585158446426698E-3</v>
          </cell>
          <cell r="N110">
            <v>1</v>
          </cell>
          <cell r="O110">
            <v>7</v>
          </cell>
          <cell r="P110">
            <v>0</v>
          </cell>
          <cell r="Q110">
            <v>0</v>
          </cell>
        </row>
        <row r="111">
          <cell r="A111" t="str">
            <v>Del_Sajid Naqvi (1008621)</v>
          </cell>
          <cell r="B111" t="str">
            <v>08:15:48</v>
          </cell>
          <cell r="C111" t="str">
            <v>05:00:37</v>
          </cell>
          <cell r="D111">
            <v>68</v>
          </cell>
          <cell r="E111">
            <v>0.70349857638753499</v>
          </cell>
          <cell r="F111">
            <v>0.56195374478956595</v>
          </cell>
          <cell r="G111">
            <v>0.56595401371520804</v>
          </cell>
          <cell r="H111">
            <v>1.3446282102998501E-4</v>
          </cell>
          <cell r="I111">
            <v>0.25248756218905499</v>
          </cell>
          <cell r="J111">
            <v>4.0237999193223101E-2</v>
          </cell>
          <cell r="K111">
            <v>0</v>
          </cell>
          <cell r="L111">
            <v>0.13849670566088501</v>
          </cell>
          <cell r="M111">
            <v>2.6892564205997001E-3</v>
          </cell>
          <cell r="N111">
            <v>3</v>
          </cell>
          <cell r="O111">
            <v>6</v>
          </cell>
          <cell r="P111">
            <v>0</v>
          </cell>
          <cell r="Q111">
            <v>0</v>
          </cell>
        </row>
        <row r="112">
          <cell r="A112" t="str">
            <v>Del_Salim (1008622)</v>
          </cell>
          <cell r="B112" t="str">
            <v>08:15:56</v>
          </cell>
          <cell r="C112" t="str">
            <v>04:37:42</v>
          </cell>
          <cell r="D112">
            <v>69</v>
          </cell>
          <cell r="E112">
            <v>0.73491531404375399</v>
          </cell>
          <cell r="F112">
            <v>0.48780077967468699</v>
          </cell>
          <cell r="G112">
            <v>0.50467132679123505</v>
          </cell>
          <cell r="H112">
            <v>7.79674687457992E-3</v>
          </cell>
          <cell r="I112">
            <v>0.19612851189676</v>
          </cell>
          <cell r="J112">
            <v>4.74862212662992E-2</v>
          </cell>
          <cell r="K112">
            <v>0</v>
          </cell>
          <cell r="L112">
            <v>0.24092619975803201</v>
          </cell>
          <cell r="M112">
            <v>2.9909934130931599E-3</v>
          </cell>
          <cell r="N112">
            <v>2</v>
          </cell>
          <cell r="O112">
            <v>6</v>
          </cell>
          <cell r="P112">
            <v>1</v>
          </cell>
          <cell r="Q112">
            <v>2</v>
          </cell>
        </row>
        <row r="113">
          <cell r="A113" t="str">
            <v>Del_Sanjay Hire (1008623)</v>
          </cell>
          <cell r="B113" t="str">
            <v>08:15:52</v>
          </cell>
          <cell r="C113" t="str">
            <v>05:00:14</v>
          </cell>
          <cell r="D113">
            <v>70</v>
          </cell>
          <cell r="E113">
            <v>0.70334218335155396</v>
          </cell>
          <cell r="F113">
            <v>0.55414762032804499</v>
          </cell>
          <cell r="G113">
            <v>0.56332347405216399</v>
          </cell>
          <cell r="H113">
            <v>1.1091691314869599E-3</v>
          </cell>
          <cell r="I113">
            <v>0.245899435332078</v>
          </cell>
          <cell r="J113">
            <v>4.1039257865017498E-2</v>
          </cell>
          <cell r="K113">
            <v>0</v>
          </cell>
          <cell r="L113">
            <v>0.14059559021242299</v>
          </cell>
          <cell r="M113">
            <v>8.0330734068297903E-3</v>
          </cell>
          <cell r="N113">
            <v>3</v>
          </cell>
          <cell r="O113">
            <v>7</v>
          </cell>
          <cell r="P113">
            <v>1</v>
          </cell>
          <cell r="Q113">
            <v>0</v>
          </cell>
        </row>
        <row r="114">
          <cell r="A114" t="str">
            <v>Del_Sanjiv Subherwal (1008624)</v>
          </cell>
          <cell r="B114" t="str">
            <v>08:02:17</v>
          </cell>
          <cell r="C114" t="str">
            <v>05:06:07</v>
          </cell>
          <cell r="D114">
            <v>71</v>
          </cell>
          <cell r="E114">
            <v>0.74219097264314904</v>
          </cell>
          <cell r="F114">
            <v>0.58651553374572396</v>
          </cell>
          <cell r="G114">
            <v>0.59615716902235905</v>
          </cell>
          <cell r="H114">
            <v>6.9115665065487103E-5</v>
          </cell>
          <cell r="I114">
            <v>0.21750699796108799</v>
          </cell>
          <cell r="J114">
            <v>3.8497425441476302E-2</v>
          </cell>
          <cell r="K114">
            <v>0</v>
          </cell>
          <cell r="L114">
            <v>0.145661264125514</v>
          </cell>
          <cell r="M114">
            <v>2.10802778449736E-3</v>
          </cell>
          <cell r="N114">
            <v>2</v>
          </cell>
          <cell r="O114">
            <v>6</v>
          </cell>
          <cell r="P114">
            <v>0</v>
          </cell>
          <cell r="Q114">
            <v>0</v>
          </cell>
        </row>
        <row r="115">
          <cell r="A115" t="str">
            <v>Del_Sanju Ramdas (1008625)</v>
          </cell>
          <cell r="B115" t="str">
            <v>08:15:58</v>
          </cell>
          <cell r="C115" t="str">
            <v>05:19:44</v>
          </cell>
          <cell r="D115">
            <v>72</v>
          </cell>
          <cell r="E115">
            <v>0.75727312201476304</v>
          </cell>
          <cell r="F115">
            <v>0.58165871362322696</v>
          </cell>
          <cell r="G115">
            <v>0.591572014248269</v>
          </cell>
          <cell r="H115">
            <v>3.0243968008602699E-4</v>
          </cell>
          <cell r="I115">
            <v>0.203609113515693</v>
          </cell>
          <cell r="J115">
            <v>5.2792526379460997E-2</v>
          </cell>
          <cell r="K115">
            <v>0</v>
          </cell>
          <cell r="L115">
            <v>0.14906915787351299</v>
          </cell>
          <cell r="M115">
            <v>2.65474830297735E-3</v>
          </cell>
          <cell r="N115">
            <v>3</v>
          </cell>
          <cell r="O115">
            <v>9</v>
          </cell>
          <cell r="P115">
            <v>0</v>
          </cell>
          <cell r="Q115">
            <v>4</v>
          </cell>
        </row>
        <row r="116">
          <cell r="A116" t="str">
            <v>Del_Santosh Kumar (1008626)</v>
          </cell>
          <cell r="B116" t="str">
            <v>08:00:32</v>
          </cell>
          <cell r="C116" t="str">
            <v>05:03:10</v>
          </cell>
          <cell r="D116">
            <v>73</v>
          </cell>
          <cell r="E116">
            <v>0.73745236357739397</v>
          </cell>
          <cell r="F116">
            <v>0.59073251942286398</v>
          </cell>
          <cell r="G116">
            <v>0.60477941176470595</v>
          </cell>
          <cell r="H116">
            <v>1.3873473917868999E-4</v>
          </cell>
          <cell r="I116">
            <v>0.21885405105438399</v>
          </cell>
          <cell r="J116">
            <v>2.59780799112098E-2</v>
          </cell>
          <cell r="K116">
            <v>0</v>
          </cell>
          <cell r="L116">
            <v>0.145255271920089</v>
          </cell>
          <cell r="M116">
            <v>4.9944506104328502E-3</v>
          </cell>
          <cell r="N116">
            <v>2</v>
          </cell>
          <cell r="O116">
            <v>4</v>
          </cell>
          <cell r="P116">
            <v>0</v>
          </cell>
          <cell r="Q116">
            <v>0</v>
          </cell>
        </row>
        <row r="117">
          <cell r="A117" t="str">
            <v>Del_Santosh Kumar (1008627)</v>
          </cell>
          <cell r="B117" t="str">
            <v>08:17:04</v>
          </cell>
          <cell r="C117" t="str">
            <v>05:09:57</v>
          </cell>
          <cell r="D117">
            <v>74</v>
          </cell>
          <cell r="E117">
            <v>0.72636019216498104</v>
          </cell>
          <cell r="F117">
            <v>0.58640692060085797</v>
          </cell>
          <cell r="G117">
            <v>0.58717811158798305</v>
          </cell>
          <cell r="H117">
            <v>1.5088519313304701E-3</v>
          </cell>
          <cell r="I117">
            <v>0.23226260729613701</v>
          </cell>
          <cell r="J117">
            <v>3.4871244635193102E-2</v>
          </cell>
          <cell r="K117">
            <v>0</v>
          </cell>
          <cell r="L117">
            <v>0.14277092274678099</v>
          </cell>
          <cell r="M117">
            <v>1.4082618025751099E-3</v>
          </cell>
          <cell r="N117">
            <v>4</v>
          </cell>
          <cell r="O117">
            <v>4</v>
          </cell>
          <cell r="P117">
            <v>1</v>
          </cell>
          <cell r="Q117">
            <v>0</v>
          </cell>
        </row>
        <row r="118">
          <cell r="A118" t="str">
            <v>Del_Santosh Kumar (1008628)</v>
          </cell>
          <cell r="B118" t="str">
            <v>08:02:59</v>
          </cell>
          <cell r="C118" t="str">
            <v>04:44:19</v>
          </cell>
          <cell r="D118">
            <v>75</v>
          </cell>
          <cell r="E118">
            <v>0.68830697224015502</v>
          </cell>
          <cell r="F118">
            <v>0.54653369681493502</v>
          </cell>
          <cell r="G118">
            <v>0.54957037854998403</v>
          </cell>
          <cell r="H118">
            <v>4.8310845784878698E-4</v>
          </cell>
          <cell r="I118">
            <v>0.26067152075640998</v>
          </cell>
          <cell r="J118">
            <v>3.8614168880913798E-2</v>
          </cell>
          <cell r="K118">
            <v>0</v>
          </cell>
          <cell r="L118">
            <v>0.149107974740329</v>
          </cell>
          <cell r="M118">
            <v>1.55284861451396E-3</v>
          </cell>
          <cell r="N118">
            <v>2</v>
          </cell>
          <cell r="O118">
            <v>6</v>
          </cell>
          <cell r="P118">
            <v>0</v>
          </cell>
          <cell r="Q118">
            <v>2</v>
          </cell>
        </row>
        <row r="119">
          <cell r="A119" t="str">
            <v>Del_Sapna Sharma (1008629)</v>
          </cell>
          <cell r="B119" t="str">
            <v>08:04:14</v>
          </cell>
          <cell r="C119" t="str">
            <v>04:33:29</v>
          </cell>
          <cell r="D119">
            <v>76</v>
          </cell>
          <cell r="E119">
            <v>0.69671365489130399</v>
          </cell>
          <cell r="F119">
            <v>0.53238796723342696</v>
          </cell>
          <cell r="G119">
            <v>0.55586149927720796</v>
          </cell>
          <cell r="H119">
            <v>6.8837337371790503E-5</v>
          </cell>
          <cell r="I119">
            <v>0.24199765953052901</v>
          </cell>
          <cell r="J119">
            <v>8.8455978522750701E-3</v>
          </cell>
          <cell r="K119">
            <v>0</v>
          </cell>
          <cell r="L119">
            <v>0.19126454188752001</v>
          </cell>
          <cell r="M119">
            <v>1.9618641150960302E-3</v>
          </cell>
          <cell r="N119">
            <v>1</v>
          </cell>
          <cell r="O119">
            <v>0</v>
          </cell>
          <cell r="P119">
            <v>0</v>
          </cell>
          <cell r="Q119">
            <v>0</v>
          </cell>
        </row>
        <row r="120">
          <cell r="A120" t="str">
            <v>Del_Saroj Parita (1008630)</v>
          </cell>
          <cell r="B120" t="str">
            <v>08:01:59</v>
          </cell>
          <cell r="C120" t="str">
            <v>04:31:42</v>
          </cell>
          <cell r="D120">
            <v>77</v>
          </cell>
          <cell r="E120">
            <v>0.71026490066225201</v>
          </cell>
          <cell r="F120">
            <v>0.47020989660776702</v>
          </cell>
          <cell r="G120">
            <v>0.48556312458937001</v>
          </cell>
          <cell r="H120">
            <v>1.95027490577129E-2</v>
          </cell>
          <cell r="I120">
            <v>0.209827449081918</v>
          </cell>
          <cell r="J120">
            <v>5.81970330924306E-2</v>
          </cell>
          <cell r="K120">
            <v>0</v>
          </cell>
          <cell r="L120">
            <v>0.21912929216086299</v>
          </cell>
          <cell r="M120">
            <v>7.7803520177046198E-3</v>
          </cell>
          <cell r="N120">
            <v>1</v>
          </cell>
          <cell r="O120">
            <v>7</v>
          </cell>
          <cell r="P120">
            <v>3</v>
          </cell>
          <cell r="Q120">
            <v>2</v>
          </cell>
        </row>
        <row r="121">
          <cell r="A121" t="str">
            <v>Del_Shailaja Kamal (1008631)</v>
          </cell>
          <cell r="B121" t="str">
            <v>08:09:14</v>
          </cell>
          <cell r="C121" t="str">
            <v>04:51:46</v>
          </cell>
          <cell r="D121">
            <v>78</v>
          </cell>
          <cell r="E121">
            <v>0.69223773182015902</v>
          </cell>
          <cell r="F121">
            <v>0.54633099407235797</v>
          </cell>
          <cell r="G121">
            <v>0.56847448388635302</v>
          </cell>
          <cell r="H121">
            <v>0</v>
          </cell>
          <cell r="I121">
            <v>0.25962390134223601</v>
          </cell>
          <cell r="J121">
            <v>2.79007971656333E-2</v>
          </cell>
          <cell r="K121">
            <v>0</v>
          </cell>
          <cell r="L121">
            <v>0.140560059957757</v>
          </cell>
          <cell r="M121">
            <v>3.44075764802071E-3</v>
          </cell>
          <cell r="N121">
            <v>0</v>
          </cell>
          <cell r="O121">
            <v>2</v>
          </cell>
          <cell r="P121">
            <v>0</v>
          </cell>
          <cell r="Q121">
            <v>0</v>
          </cell>
        </row>
        <row r="122">
          <cell r="A122" t="str">
            <v>Del_Shailendra Barge (1008632)</v>
          </cell>
          <cell r="B122" t="str">
            <v>08:17:38</v>
          </cell>
          <cell r="C122" t="str">
            <v>03:26:09</v>
          </cell>
          <cell r="D122">
            <v>79</v>
          </cell>
          <cell r="E122">
            <v>0.74489611562782299</v>
          </cell>
          <cell r="F122">
            <v>0.38820416638756799</v>
          </cell>
          <cell r="G122">
            <v>0.38914193850894202</v>
          </cell>
          <cell r="H122">
            <v>0</v>
          </cell>
          <cell r="I122">
            <v>0.13614441690669199</v>
          </cell>
          <cell r="J122">
            <v>2.5118896108245699E-2</v>
          </cell>
          <cell r="K122">
            <v>0</v>
          </cell>
          <cell r="L122">
            <v>0.44832205773996903</v>
          </cell>
          <cell r="M122">
            <v>1.27269073615112E-3</v>
          </cell>
          <cell r="N122">
            <v>2</v>
          </cell>
          <cell r="O122">
            <v>3</v>
          </cell>
          <cell r="P122">
            <v>0</v>
          </cell>
          <cell r="Q122">
            <v>0</v>
          </cell>
        </row>
        <row r="123">
          <cell r="A123" t="str">
            <v>Del_Shankar Attendant (1008633)</v>
          </cell>
          <cell r="B123" t="str">
            <v>07:57:56</v>
          </cell>
          <cell r="C123" t="str">
            <v>03:27:15</v>
          </cell>
          <cell r="D123">
            <v>80</v>
          </cell>
          <cell r="E123">
            <v>0.73147058823529398</v>
          </cell>
          <cell r="F123">
            <v>0.40277584042404802</v>
          </cell>
          <cell r="G123">
            <v>0.41396987027479398</v>
          </cell>
          <cell r="H123">
            <v>2.4410656995396801E-4</v>
          </cell>
          <cell r="I123">
            <v>0.15385688380527299</v>
          </cell>
          <cell r="J123">
            <v>1.94239084949086E-2</v>
          </cell>
          <cell r="K123">
            <v>0</v>
          </cell>
          <cell r="L123">
            <v>0.40818105733017102</v>
          </cell>
          <cell r="M123">
            <v>4.3241735248988698E-3</v>
          </cell>
          <cell r="N123">
            <v>1</v>
          </cell>
          <cell r="O123">
            <v>1</v>
          </cell>
          <cell r="P123">
            <v>0</v>
          </cell>
          <cell r="Q123">
            <v>0</v>
          </cell>
        </row>
        <row r="124">
          <cell r="A124" t="str">
            <v>Del_Shashikant Tiwari (1008634)</v>
          </cell>
          <cell r="B124" t="str">
            <v>08:14:55</v>
          </cell>
          <cell r="C124" t="str">
            <v>05:19:10</v>
          </cell>
          <cell r="D124">
            <v>81</v>
          </cell>
          <cell r="E124">
            <v>0.74915890775369698</v>
          </cell>
          <cell r="F124">
            <v>0.54352584610203702</v>
          </cell>
          <cell r="G124">
            <v>0.57595554807206595</v>
          </cell>
          <cell r="H124">
            <v>6.7351405960599405E-5</v>
          </cell>
          <cell r="I124">
            <v>0.208823034180839</v>
          </cell>
          <cell r="J124">
            <v>6.8866812594712903E-2</v>
          </cell>
          <cell r="K124">
            <v>0</v>
          </cell>
          <cell r="L124">
            <v>0.141404276814278</v>
          </cell>
          <cell r="M124">
            <v>4.8829769321434603E-3</v>
          </cell>
          <cell r="N124">
            <v>1</v>
          </cell>
          <cell r="O124">
            <v>10</v>
          </cell>
          <cell r="P124">
            <v>0</v>
          </cell>
          <cell r="Q124">
            <v>0</v>
          </cell>
        </row>
        <row r="125">
          <cell r="A125" t="str">
            <v>Del_Sheeba Joseph (1008635)</v>
          </cell>
          <cell r="B125" t="str">
            <v>08:30:57</v>
          </cell>
          <cell r="C125" t="str">
            <v>03:41:07</v>
          </cell>
          <cell r="D125">
            <v>82</v>
          </cell>
          <cell r="E125">
            <v>0.481106759501015</v>
          </cell>
          <cell r="F125">
            <v>0.28371986821932998</v>
          </cell>
          <cell r="G125">
            <v>0.310467429950745</v>
          </cell>
          <cell r="H125">
            <v>1.9571386632742899E-3</v>
          </cell>
          <cell r="I125">
            <v>0.44612975829337498</v>
          </cell>
          <cell r="J125">
            <v>0.120331408813648</v>
          </cell>
          <cell r="K125">
            <v>0</v>
          </cell>
          <cell r="L125">
            <v>0.10891476661121401</v>
          </cell>
          <cell r="M125">
            <v>1.2199497667743101E-2</v>
          </cell>
          <cell r="N125">
            <v>0</v>
          </cell>
          <cell r="O125">
            <v>13</v>
          </cell>
          <cell r="P125">
            <v>0</v>
          </cell>
          <cell r="Q125">
            <v>2</v>
          </cell>
        </row>
        <row r="126">
          <cell r="A126" t="str">
            <v>Del_Sheena Joseph (1008636)</v>
          </cell>
          <cell r="B126" t="str">
            <v>08:49:34</v>
          </cell>
          <cell r="C126" t="str">
            <v>05:10:26</v>
          </cell>
          <cell r="D126">
            <v>83</v>
          </cell>
          <cell r="E126">
            <v>0.72348028743445303</v>
          </cell>
          <cell r="F126">
            <v>0.56196890539434796</v>
          </cell>
          <cell r="G126">
            <v>0.56445521495562401</v>
          </cell>
          <cell r="H126">
            <v>2.92692138226223E-3</v>
          </cell>
          <cell r="I126">
            <v>0.217378989110593</v>
          </cell>
          <cell r="J126">
            <v>1.8820419210675399E-2</v>
          </cell>
          <cell r="K126">
            <v>0</v>
          </cell>
          <cell r="L126">
            <v>0.191666142128784</v>
          </cell>
          <cell r="M126">
            <v>4.75231321206017E-3</v>
          </cell>
          <cell r="N126">
            <v>1</v>
          </cell>
          <cell r="O126">
            <v>2</v>
          </cell>
          <cell r="P126">
            <v>1</v>
          </cell>
          <cell r="Q126">
            <v>0</v>
          </cell>
        </row>
        <row r="127">
          <cell r="A127" t="str">
            <v>Del_Shephali Jain (1008637)</v>
          </cell>
          <cell r="B127" t="str">
            <v>08:25:43</v>
          </cell>
          <cell r="C127" t="str">
            <v>03:41:29</v>
          </cell>
          <cell r="D127">
            <v>84</v>
          </cell>
          <cell r="E127">
            <v>0.73116918844566703</v>
          </cell>
          <cell r="F127">
            <v>0.40332201825791802</v>
          </cell>
          <cell r="G127">
            <v>0.406321062518538</v>
          </cell>
          <cell r="H127">
            <v>3.2956530336486201E-5</v>
          </cell>
          <cell r="I127">
            <v>0.15772995419042299</v>
          </cell>
          <cell r="J127">
            <v>3.1605312592690199E-2</v>
          </cell>
          <cell r="K127">
            <v>0</v>
          </cell>
          <cell r="L127">
            <v>0.40302540948488902</v>
          </cell>
          <cell r="M127">
            <v>1.28530468312296E-3</v>
          </cell>
          <cell r="N127">
            <v>0</v>
          </cell>
          <cell r="O127">
            <v>5</v>
          </cell>
          <cell r="P127">
            <v>0</v>
          </cell>
          <cell r="Q127">
            <v>0</v>
          </cell>
        </row>
        <row r="128">
          <cell r="A128" t="str">
            <v>Del_Shivji Prasad (1008638)</v>
          </cell>
          <cell r="B128" t="str">
            <v>08:11:40</v>
          </cell>
          <cell r="C128" t="str">
            <v>04:12:39</v>
          </cell>
          <cell r="D128">
            <v>85</v>
          </cell>
          <cell r="E128">
            <v>0.71045601537235803</v>
          </cell>
          <cell r="F128">
            <v>0.43796610169491501</v>
          </cell>
          <cell r="G128">
            <v>0.466440677966102</v>
          </cell>
          <cell r="H128">
            <v>6.5084745762711898E-3</v>
          </cell>
          <cell r="I128">
            <v>0.20183050847457601</v>
          </cell>
          <cell r="J128">
            <v>4.0915254237288097E-2</v>
          </cell>
          <cell r="K128">
            <v>0</v>
          </cell>
          <cell r="L128">
            <v>0.280271186440678</v>
          </cell>
          <cell r="M128">
            <v>4.0338983050847398E-3</v>
          </cell>
          <cell r="N128">
            <v>0</v>
          </cell>
          <cell r="O128">
            <v>6</v>
          </cell>
          <cell r="P128">
            <v>1</v>
          </cell>
          <cell r="Q128">
            <v>1</v>
          </cell>
        </row>
        <row r="129">
          <cell r="A129" t="str">
            <v>Del_Shubhanjali Joshi (1008639)</v>
          </cell>
          <cell r="B129" t="str">
            <v>08:17:17</v>
          </cell>
          <cell r="C129" t="str">
            <v>04:54:52</v>
          </cell>
          <cell r="D129">
            <v>86</v>
          </cell>
          <cell r="E129">
            <v>0.688887158321003</v>
          </cell>
          <cell r="F129">
            <v>0.55581995508931903</v>
          </cell>
          <cell r="G129">
            <v>0.55970774541676405</v>
          </cell>
          <cell r="H129">
            <v>6.03277809431243E-4</v>
          </cell>
          <cell r="I129">
            <v>0.24472969802594099</v>
          </cell>
          <cell r="J129">
            <v>3.26440325770017E-2</v>
          </cell>
          <cell r="K129">
            <v>0</v>
          </cell>
          <cell r="L129">
            <v>0.159935650366994</v>
          </cell>
          <cell r="M129">
            <v>2.3795958038676799E-3</v>
          </cell>
          <cell r="N129">
            <v>4</v>
          </cell>
          <cell r="O129">
            <v>4</v>
          </cell>
          <cell r="P129">
            <v>0</v>
          </cell>
          <cell r="Q129">
            <v>0</v>
          </cell>
        </row>
        <row r="130">
          <cell r="A130" t="str">
            <v>Del_Shyamal Malakar (1008640)</v>
          </cell>
          <cell r="B130" t="str">
            <v>08:15:36</v>
          </cell>
          <cell r="C130" t="str">
            <v>02:53:35</v>
          </cell>
          <cell r="D130">
            <v>87</v>
          </cell>
          <cell r="E130">
            <v>0.78143757503001199</v>
          </cell>
          <cell r="F130">
            <v>0.326035781544256</v>
          </cell>
          <cell r="G130">
            <v>0.34315308044121601</v>
          </cell>
          <cell r="H130">
            <v>1.0088781275222E-3</v>
          </cell>
          <cell r="I130">
            <v>8.7772397094431007E-2</v>
          </cell>
          <cell r="J130">
            <v>6.0868980360505804E-3</v>
          </cell>
          <cell r="K130">
            <v>0</v>
          </cell>
          <cell r="L130">
            <v>0.55612725316115097</v>
          </cell>
          <cell r="M130">
            <v>5.8514931396287297E-3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</row>
        <row r="131">
          <cell r="A131" t="str">
            <v>Del_Sneh Khan (1008641)</v>
          </cell>
          <cell r="B131" t="str">
            <v>08:09:15</v>
          </cell>
          <cell r="C131" t="str">
            <v>05:06:25</v>
          </cell>
          <cell r="D131">
            <v>88</v>
          </cell>
          <cell r="E131">
            <v>0.73028798411122098</v>
          </cell>
          <cell r="F131">
            <v>0.57404190086867701</v>
          </cell>
          <cell r="G131">
            <v>0.58286492931357503</v>
          </cell>
          <cell r="H131">
            <v>3.4065746891500599E-5</v>
          </cell>
          <cell r="I131">
            <v>0.229024016351558</v>
          </cell>
          <cell r="J131">
            <v>4.3399761539771799E-2</v>
          </cell>
          <cell r="K131">
            <v>0</v>
          </cell>
          <cell r="L131">
            <v>0.142769545222279</v>
          </cell>
          <cell r="M131">
            <v>1.90768182592403E-3</v>
          </cell>
          <cell r="N131">
            <v>4</v>
          </cell>
          <cell r="O131">
            <v>4</v>
          </cell>
          <cell r="P131">
            <v>0</v>
          </cell>
          <cell r="Q131">
            <v>2</v>
          </cell>
        </row>
        <row r="132">
          <cell r="A132" t="str">
            <v>Del_Sonaram Munda (1008642)</v>
          </cell>
          <cell r="B132" t="str">
            <v>08:00:41</v>
          </cell>
          <cell r="C132" t="str">
            <v>04:11:10</v>
          </cell>
          <cell r="D132">
            <v>89</v>
          </cell>
          <cell r="E132">
            <v>0.69058748052424201</v>
          </cell>
          <cell r="F132">
            <v>0.45359037481363301</v>
          </cell>
          <cell r="G132">
            <v>0.48354772719392503</v>
          </cell>
          <cell r="H132">
            <v>8.2521410492007903E-3</v>
          </cell>
          <cell r="I132">
            <v>0.230227800700392</v>
          </cell>
          <cell r="J132">
            <v>3.0720155334419699E-2</v>
          </cell>
          <cell r="K132">
            <v>0</v>
          </cell>
          <cell r="L132">
            <v>0.24392358101314099</v>
          </cell>
          <cell r="M132">
            <v>3.3285947089213299E-3</v>
          </cell>
          <cell r="N132">
            <v>1</v>
          </cell>
          <cell r="O132">
            <v>6</v>
          </cell>
          <cell r="P132">
            <v>1</v>
          </cell>
          <cell r="Q132">
            <v>0</v>
          </cell>
        </row>
        <row r="133">
          <cell r="A133" t="str">
            <v>Del_Sudama Kumar (1008643)</v>
          </cell>
          <cell r="B133" t="str">
            <v>08:09:47</v>
          </cell>
          <cell r="C133" t="str">
            <v>02:38:49</v>
          </cell>
          <cell r="D133">
            <v>90</v>
          </cell>
          <cell r="E133">
            <v>0.73925523661753301</v>
          </cell>
          <cell r="F133">
            <v>0.29689998979140397</v>
          </cell>
          <cell r="G133">
            <v>0.30159594378466698</v>
          </cell>
          <cell r="H133">
            <v>0</v>
          </cell>
          <cell r="I133">
            <v>9.0992615782488906E-2</v>
          </cell>
          <cell r="J133">
            <v>2.2663082315309498E-2</v>
          </cell>
          <cell r="K133">
            <v>0</v>
          </cell>
          <cell r="L133">
            <v>0.56419505223398103</v>
          </cell>
          <cell r="M133">
            <v>2.0553305883554002E-2</v>
          </cell>
          <cell r="N133">
            <v>1</v>
          </cell>
          <cell r="O133">
            <v>4</v>
          </cell>
          <cell r="P133">
            <v>0</v>
          </cell>
          <cell r="Q133">
            <v>1</v>
          </cell>
        </row>
        <row r="134">
          <cell r="A134" t="str">
            <v>Del_Sudhir Kumar (1008644)</v>
          </cell>
          <cell r="B134" t="str">
            <v>08:00:18</v>
          </cell>
          <cell r="C134" t="str">
            <v>04:35:36</v>
          </cell>
          <cell r="D134">
            <v>91</v>
          </cell>
          <cell r="E134">
            <v>0.67504898758981102</v>
          </cell>
          <cell r="F134">
            <v>0.55729058227496697</v>
          </cell>
          <cell r="G134">
            <v>0.56128114372961302</v>
          </cell>
          <cell r="H134">
            <v>3.47005343882296E-5</v>
          </cell>
          <cell r="I134">
            <v>0.26844333402734399</v>
          </cell>
          <cell r="J134">
            <v>1.2492192379762601E-2</v>
          </cell>
          <cell r="K134">
            <v>0</v>
          </cell>
          <cell r="L134">
            <v>0.15490318550905699</v>
          </cell>
          <cell r="M134">
            <v>2.8454438198348198E-3</v>
          </cell>
          <cell r="N134">
            <v>1</v>
          </cell>
          <cell r="O134">
            <v>0</v>
          </cell>
          <cell r="P134">
            <v>0</v>
          </cell>
          <cell r="Q134">
            <v>0</v>
          </cell>
        </row>
        <row r="135">
          <cell r="A135" t="str">
            <v>Del_Sunil Kumar (1008645)</v>
          </cell>
          <cell r="B135" t="str">
            <v>08:03:26</v>
          </cell>
          <cell r="C135" t="str">
            <v>02:58:37</v>
          </cell>
          <cell r="D135">
            <v>92</v>
          </cell>
          <cell r="E135">
            <v>0.71513412518350505</v>
          </cell>
          <cell r="F135">
            <v>0.33279321519685601</v>
          </cell>
          <cell r="G135">
            <v>0.337688754050886</v>
          </cell>
          <cell r="H135">
            <v>3.1028063159346299E-4</v>
          </cell>
          <cell r="I135">
            <v>0.13476522098876101</v>
          </cell>
          <cell r="J135">
            <v>3.1476246293870198E-2</v>
          </cell>
          <cell r="K135">
            <v>0</v>
          </cell>
          <cell r="L135">
            <v>0.49013997104047402</v>
          </cell>
          <cell r="M135">
            <v>5.6195269944149502E-3</v>
          </cell>
          <cell r="N135">
            <v>0</v>
          </cell>
          <cell r="O135">
            <v>5</v>
          </cell>
          <cell r="P135">
            <v>0</v>
          </cell>
          <cell r="Q135">
            <v>0</v>
          </cell>
        </row>
        <row r="136">
          <cell r="A136" t="str">
            <v>Del_Sunil Kumar (1008646)</v>
          </cell>
          <cell r="B136" t="str">
            <v>08:05:06</v>
          </cell>
          <cell r="C136" t="str">
            <v>04:05:03</v>
          </cell>
          <cell r="D136">
            <v>93</v>
          </cell>
          <cell r="E136">
            <v>0.70305551570793301</v>
          </cell>
          <cell r="F136">
            <v>0.472308115165258</v>
          </cell>
          <cell r="G136">
            <v>0.48069126640555199</v>
          </cell>
          <cell r="H136">
            <v>5.5658627087198497E-3</v>
          </cell>
          <cell r="I136">
            <v>0.210712567855425</v>
          </cell>
          <cell r="J136">
            <v>1.8896447467875999E-2</v>
          </cell>
          <cell r="K136">
            <v>0</v>
          </cell>
          <cell r="L136">
            <v>0.28210678210678197</v>
          </cell>
          <cell r="M136">
            <v>2.0270734556448798E-3</v>
          </cell>
          <cell r="N136">
            <v>0</v>
          </cell>
          <cell r="O136">
            <v>2</v>
          </cell>
          <cell r="P136">
            <v>2</v>
          </cell>
          <cell r="Q136">
            <v>0</v>
          </cell>
        </row>
        <row r="137">
          <cell r="A137" t="str">
            <v>Del_Sunita Chawla (1008647)</v>
          </cell>
          <cell r="B137" t="str">
            <v>08:05:25</v>
          </cell>
          <cell r="C137" t="str">
            <v>04:31:57</v>
          </cell>
          <cell r="D137">
            <v>94</v>
          </cell>
          <cell r="E137">
            <v>0.75773195876288701</v>
          </cell>
          <cell r="F137">
            <v>0.51110729613733896</v>
          </cell>
          <cell r="G137">
            <v>0.51945064377682404</v>
          </cell>
          <cell r="H137">
            <v>1.9570815450643802E-3</v>
          </cell>
          <cell r="I137">
            <v>0.17438626609442101</v>
          </cell>
          <cell r="J137">
            <v>3.8832618025751102E-2</v>
          </cell>
          <cell r="K137">
            <v>0</v>
          </cell>
          <cell r="L137">
            <v>0.26104721030042899</v>
          </cell>
          <cell r="M137">
            <v>4.3261802575107304E-3</v>
          </cell>
          <cell r="N137">
            <v>1</v>
          </cell>
          <cell r="O137">
            <v>5</v>
          </cell>
          <cell r="P137">
            <v>0</v>
          </cell>
          <cell r="Q137">
            <v>0</v>
          </cell>
        </row>
        <row r="138">
          <cell r="A138" t="str">
            <v>Del_Sunita Madnani (1008648)</v>
          </cell>
          <cell r="B138" t="str">
            <v>08:14:02</v>
          </cell>
          <cell r="C138" t="str">
            <v>05:19:12</v>
          </cell>
          <cell r="D138">
            <v>95</v>
          </cell>
          <cell r="E138">
            <v>0.74879774797669796</v>
          </cell>
          <cell r="F138">
            <v>0.58886040078267299</v>
          </cell>
          <cell r="G138">
            <v>0.59867755212198903</v>
          </cell>
          <cell r="H138">
            <v>1.0120774576614299E-4</v>
          </cell>
          <cell r="I138">
            <v>0.20703731192227201</v>
          </cell>
          <cell r="J138">
            <v>4.7331489103299401E-2</v>
          </cell>
          <cell r="K138">
            <v>0</v>
          </cell>
          <cell r="L138">
            <v>0.13814857297078501</v>
          </cell>
          <cell r="M138">
            <v>8.7038661358882705E-3</v>
          </cell>
          <cell r="N138">
            <v>2</v>
          </cell>
          <cell r="O138">
            <v>5</v>
          </cell>
          <cell r="P138">
            <v>0</v>
          </cell>
          <cell r="Q138">
            <v>0</v>
          </cell>
        </row>
        <row r="139">
          <cell r="A139" t="str">
            <v>Del_Surendra Kumar (1008649)</v>
          </cell>
          <cell r="B139" t="str">
            <v>07:29:10</v>
          </cell>
          <cell r="C139" t="str">
            <v>02:54:25</v>
          </cell>
          <cell r="D139">
            <v>96</v>
          </cell>
          <cell r="E139">
            <v>0.78184534927157301</v>
          </cell>
          <cell r="F139">
            <v>0.34289424860853401</v>
          </cell>
          <cell r="G139">
            <v>0.345936920222634</v>
          </cell>
          <cell r="H139">
            <v>0</v>
          </cell>
          <cell r="I139">
            <v>0.103821892393321</v>
          </cell>
          <cell r="J139">
            <v>4.2374768089053799E-2</v>
          </cell>
          <cell r="K139">
            <v>0</v>
          </cell>
          <cell r="L139">
            <v>0.50508348794063096</v>
          </cell>
          <cell r="M139">
            <v>2.7829313543599201E-3</v>
          </cell>
          <cell r="N139">
            <v>0</v>
          </cell>
          <cell r="O139">
            <v>5</v>
          </cell>
          <cell r="P139">
            <v>0</v>
          </cell>
          <cell r="Q139">
            <v>0</v>
          </cell>
        </row>
        <row r="140">
          <cell r="A140" t="str">
            <v>Del_Surendranath Thakur (1008650)</v>
          </cell>
          <cell r="B140" t="str">
            <v>08:33:53</v>
          </cell>
          <cell r="C140" t="str">
            <v>04:36:50</v>
          </cell>
          <cell r="D140">
            <v>97</v>
          </cell>
          <cell r="E140">
            <v>0.730752309722833</v>
          </cell>
          <cell r="F140">
            <v>0.497486459313074</v>
          </cell>
          <cell r="G140">
            <v>0.50004864917458602</v>
          </cell>
          <cell r="H140">
            <v>2.5946226445691298E-4</v>
          </cell>
          <cell r="I140">
            <v>0.19063989880971699</v>
          </cell>
          <cell r="J140">
            <v>3.8400415139623098E-2</v>
          </cell>
          <cell r="K140">
            <v>0</v>
          </cell>
          <cell r="L140">
            <v>0.26675964064476398</v>
          </cell>
          <cell r="M140">
            <v>3.8919339668536902E-3</v>
          </cell>
          <cell r="N140">
            <v>0</v>
          </cell>
          <cell r="O140">
            <v>6</v>
          </cell>
          <cell r="P140">
            <v>0</v>
          </cell>
          <cell r="Q140">
            <v>1</v>
          </cell>
        </row>
        <row r="141">
          <cell r="A141" t="str">
            <v>Del_Sushma Khandelwal (1008651)</v>
          </cell>
          <cell r="B141" t="str">
            <v>08:15:15</v>
          </cell>
          <cell r="C141" t="str">
            <v>04:50:07</v>
          </cell>
          <cell r="D141">
            <v>98</v>
          </cell>
          <cell r="E141">
            <v>0.68252038895859501</v>
          </cell>
          <cell r="F141">
            <v>0.52431431936732298</v>
          </cell>
          <cell r="G141">
            <v>0.53575635201076899</v>
          </cell>
          <cell r="H141">
            <v>1.6153457849570899E-2</v>
          </cell>
          <cell r="I141">
            <v>0.26585899377418798</v>
          </cell>
          <cell r="J141">
            <v>3.3888608446912299E-2</v>
          </cell>
          <cell r="K141">
            <v>0</v>
          </cell>
          <cell r="L141">
            <v>0.142049469964664</v>
          </cell>
          <cell r="M141">
            <v>6.2931179538953403E-3</v>
          </cell>
          <cell r="N141">
            <v>2</v>
          </cell>
          <cell r="O141">
            <v>3</v>
          </cell>
          <cell r="P141">
            <v>1</v>
          </cell>
          <cell r="Q141">
            <v>0</v>
          </cell>
        </row>
        <row r="142">
          <cell r="A142" t="str">
            <v>Del_Swarnlata Borse (1008652)</v>
          </cell>
          <cell r="B142" t="str">
            <v>08:19:05</v>
          </cell>
          <cell r="C142" t="str">
            <v>02:59:39</v>
          </cell>
          <cell r="D142">
            <v>99</v>
          </cell>
          <cell r="E142">
            <v>0.79292334853611901</v>
          </cell>
          <cell r="F142">
            <v>0.31066956086157999</v>
          </cell>
          <cell r="G142">
            <v>0.32963766905994302</v>
          </cell>
          <cell r="H142">
            <v>1.1521122057104699E-2</v>
          </cell>
          <cell r="I142">
            <v>9.1534479879779598E-2</v>
          </cell>
          <cell r="J142">
            <v>1.8801135414927402E-2</v>
          </cell>
          <cell r="K142">
            <v>0</v>
          </cell>
          <cell r="L142">
            <v>0.54623476373351099</v>
          </cell>
          <cell r="M142">
            <v>2.2708298547336799E-3</v>
          </cell>
          <cell r="N142">
            <v>0</v>
          </cell>
          <cell r="O142">
            <v>2</v>
          </cell>
          <cell r="P142">
            <v>2</v>
          </cell>
          <cell r="Q142">
            <v>0</v>
          </cell>
        </row>
        <row r="143">
          <cell r="A143" t="str">
            <v>Del_Syed Naved (1008653)</v>
          </cell>
          <cell r="B143" t="str">
            <v>08:13:39</v>
          </cell>
          <cell r="C143" t="str">
            <v>05:24:05</v>
          </cell>
          <cell r="D143">
            <v>100</v>
          </cell>
          <cell r="E143">
            <v>0.75476458486977405</v>
          </cell>
          <cell r="F143">
            <v>0.58462473412336702</v>
          </cell>
          <cell r="G143">
            <v>0.59569870691110405</v>
          </cell>
          <cell r="H143">
            <v>6.7524224315473205E-5</v>
          </cell>
          <cell r="I143">
            <v>0.17384111550018599</v>
          </cell>
          <cell r="J143">
            <v>5.8475978257199801E-2</v>
          </cell>
          <cell r="K143">
            <v>0</v>
          </cell>
          <cell r="L143">
            <v>0.15138931091529101</v>
          </cell>
          <cell r="M143">
            <v>2.0527364191903801E-2</v>
          </cell>
          <cell r="N143">
            <v>2</v>
          </cell>
          <cell r="O143">
            <v>10</v>
          </cell>
          <cell r="P143">
            <v>0</v>
          </cell>
          <cell r="Q143">
            <v>1</v>
          </cell>
        </row>
        <row r="144">
          <cell r="A144" t="str">
            <v>Del_Syed Saqib (1008654)</v>
          </cell>
          <cell r="B144" t="str">
            <v>08:24:48</v>
          </cell>
          <cell r="C144" t="str">
            <v>02:52:08</v>
          </cell>
          <cell r="D144">
            <v>101</v>
          </cell>
          <cell r="E144">
            <v>0.85263766201601598</v>
          </cell>
          <cell r="F144">
            <v>0.31685816164817698</v>
          </cell>
          <cell r="G144">
            <v>0.323230322239831</v>
          </cell>
          <cell r="H144">
            <v>8.2540940306391995E-3</v>
          </cell>
          <cell r="I144">
            <v>5.1406497622820901E-2</v>
          </cell>
          <cell r="J144">
            <v>9.5087163232963502E-3</v>
          </cell>
          <cell r="K144">
            <v>0</v>
          </cell>
          <cell r="L144">
            <v>0.60136027469624898</v>
          </cell>
          <cell r="M144">
            <v>6.2400950871632299E-3</v>
          </cell>
          <cell r="N144">
            <v>3</v>
          </cell>
          <cell r="O144">
            <v>1</v>
          </cell>
          <cell r="P144">
            <v>2</v>
          </cell>
          <cell r="Q144">
            <v>0</v>
          </cell>
        </row>
        <row r="145">
          <cell r="A145" t="str">
            <v>Del_Syed Sohail (1008655)</v>
          </cell>
          <cell r="B145" t="str">
            <v>08:17:53</v>
          </cell>
          <cell r="C145" t="str">
            <v>04:51:52</v>
          </cell>
          <cell r="D145">
            <v>102</v>
          </cell>
          <cell r="E145">
            <v>0.68513302034428802</v>
          </cell>
          <cell r="F145">
            <v>0.56375322197301903</v>
          </cell>
          <cell r="G145">
            <v>0.565795199678639</v>
          </cell>
          <cell r="H145">
            <v>0</v>
          </cell>
          <cell r="I145">
            <v>0.26462022562179899</v>
          </cell>
          <cell r="J145">
            <v>2.04197770562046E-2</v>
          </cell>
          <cell r="K145">
            <v>0</v>
          </cell>
          <cell r="L145">
            <v>0.14474609178857201</v>
          </cell>
          <cell r="M145">
            <v>4.4187058547852601E-3</v>
          </cell>
          <cell r="N145">
            <v>0</v>
          </cell>
          <cell r="O145">
            <v>1</v>
          </cell>
          <cell r="P145">
            <v>0</v>
          </cell>
          <cell r="Q145">
            <v>0</v>
          </cell>
        </row>
        <row r="146">
          <cell r="A146" t="str">
            <v>Del_System Operator (1008656)</v>
          </cell>
          <cell r="B146" t="str">
            <v>08:30:54</v>
          </cell>
          <cell r="C146" t="str">
            <v>05:15:36</v>
          </cell>
          <cell r="D146">
            <v>103</v>
          </cell>
          <cell r="E146">
            <v>0.69218116021493603</v>
          </cell>
          <cell r="F146">
            <v>0.54779147908918902</v>
          </cell>
          <cell r="G146">
            <v>0.55575128857571598</v>
          </cell>
          <cell r="H146">
            <v>3.26221700267502E-5</v>
          </cell>
          <cell r="I146">
            <v>0.26867619234031398</v>
          </cell>
          <cell r="J146">
            <v>6.1949500880798598E-2</v>
          </cell>
          <cell r="K146">
            <v>0</v>
          </cell>
          <cell r="L146">
            <v>0.109773602140014</v>
          </cell>
          <cell r="M146">
            <v>3.81679389312977E-3</v>
          </cell>
          <cell r="N146">
            <v>0</v>
          </cell>
          <cell r="O146">
            <v>7</v>
          </cell>
          <cell r="P146">
            <v>0</v>
          </cell>
          <cell r="Q146">
            <v>0</v>
          </cell>
        </row>
        <row r="147">
          <cell r="A147" t="str">
            <v>Del_Tahira Qureshi (1008657)</v>
          </cell>
          <cell r="B147" t="str">
            <v>08:46:13</v>
          </cell>
          <cell r="C147" t="str">
            <v>03:36:51</v>
          </cell>
          <cell r="D147">
            <v>104</v>
          </cell>
          <cell r="E147">
            <v>0.75764281138997303</v>
          </cell>
          <cell r="F147">
            <v>0.37965983593576802</v>
          </cell>
          <cell r="G147">
            <v>0.38415734963418102</v>
          </cell>
          <cell r="H147">
            <v>6.3345263357932397E-5</v>
          </cell>
          <cell r="I147">
            <v>0.124948531973522</v>
          </cell>
          <cell r="J147">
            <v>2.78719158774903E-2</v>
          </cell>
          <cell r="K147">
            <v>0</v>
          </cell>
          <cell r="L147">
            <v>0.46083679092895802</v>
          </cell>
          <cell r="M147">
            <v>2.12206632249074E-3</v>
          </cell>
          <cell r="N147">
            <v>2</v>
          </cell>
          <cell r="O147">
            <v>5</v>
          </cell>
          <cell r="P147">
            <v>0</v>
          </cell>
          <cell r="Q147">
            <v>0</v>
          </cell>
        </row>
        <row r="148">
          <cell r="A148" t="str">
            <v>Del_Tapas Chakraborty (1008658)</v>
          </cell>
          <cell r="B148" t="str">
            <v>08:14:56</v>
          </cell>
          <cell r="C148" t="str">
            <v>05:15:14</v>
          </cell>
          <cell r="D148">
            <v>105</v>
          </cell>
          <cell r="E148">
            <v>0.74111516006426104</v>
          </cell>
          <cell r="F148">
            <v>0.56529498922413801</v>
          </cell>
          <cell r="G148">
            <v>0.57401670258620696</v>
          </cell>
          <cell r="H148">
            <v>1.4816810344827601E-3</v>
          </cell>
          <cell r="I148">
            <v>0.21046605603448301</v>
          </cell>
          <cell r="J148">
            <v>6.1422413793103398E-2</v>
          </cell>
          <cell r="K148">
            <v>0</v>
          </cell>
          <cell r="L148">
            <v>0.145844558189655</v>
          </cell>
          <cell r="M148">
            <v>6.7685883620689702E-3</v>
          </cell>
          <cell r="N148">
            <v>0</v>
          </cell>
          <cell r="O148">
            <v>12</v>
          </cell>
          <cell r="P148">
            <v>1</v>
          </cell>
          <cell r="Q148">
            <v>0</v>
          </cell>
        </row>
        <row r="149">
          <cell r="A149" t="str">
            <v>Del_Tariq Akhlaq (1008659)</v>
          </cell>
          <cell r="B149" t="str">
            <v>04:59:55</v>
          </cell>
          <cell r="C149" t="str">
            <v>03:08:41</v>
          </cell>
          <cell r="D149">
            <v>106</v>
          </cell>
          <cell r="E149">
            <v>0.66200806970352599</v>
          </cell>
          <cell r="F149">
            <v>0.60261183662128404</v>
          </cell>
          <cell r="G149">
            <v>0.60955821061405902</v>
          </cell>
          <cell r="H149">
            <v>2.22283967768825E-4</v>
          </cell>
          <cell r="I149">
            <v>0.303417616004446</v>
          </cell>
          <cell r="J149">
            <v>1.8560711308696898E-2</v>
          </cell>
          <cell r="K149">
            <v>0</v>
          </cell>
          <cell r="L149">
            <v>5.0180605723812201E-2</v>
          </cell>
          <cell r="M149">
            <v>1.8060572381216999E-2</v>
          </cell>
          <cell r="N149">
            <v>0</v>
          </cell>
          <cell r="O149">
            <v>1</v>
          </cell>
          <cell r="P149">
            <v>0</v>
          </cell>
          <cell r="Q149">
            <v>4</v>
          </cell>
        </row>
        <row r="150">
          <cell r="A150" t="str">
            <v>Del_Tasneem Khan (1008660)</v>
          </cell>
          <cell r="B150" t="str">
            <v>08:33:55</v>
          </cell>
          <cell r="C150" t="str">
            <v>04:38:49</v>
          </cell>
          <cell r="D150">
            <v>107</v>
          </cell>
          <cell r="E150">
            <v>0.73796815033746499</v>
          </cell>
          <cell r="F150">
            <v>0.49813523593319298</v>
          </cell>
          <cell r="G150">
            <v>0.50796173179828097</v>
          </cell>
          <cell r="H150">
            <v>2.4647316361277802E-3</v>
          </cell>
          <cell r="I150">
            <v>0.183946813685747</v>
          </cell>
          <cell r="J150">
            <v>3.2106372628506602E-2</v>
          </cell>
          <cell r="K150">
            <v>0</v>
          </cell>
          <cell r="L150">
            <v>0.26628830874006798</v>
          </cell>
          <cell r="M150">
            <v>7.2320415112696601E-3</v>
          </cell>
          <cell r="N150">
            <v>4</v>
          </cell>
          <cell r="O150">
            <v>5</v>
          </cell>
          <cell r="P150">
            <v>0</v>
          </cell>
          <cell r="Q150">
            <v>0</v>
          </cell>
        </row>
      </sheetData>
      <sheetData sheetId="2">
        <row r="1">
          <cell r="A1" t="str">
            <v>Employee</v>
          </cell>
          <cell r="B1" t="str">
            <v>Attended Calls</v>
          </cell>
          <cell r="C1" t="str">
            <v>Transferred calls</v>
          </cell>
          <cell r="D1" t="str">
            <v>Call Conferenced</v>
          </cell>
          <cell r="E1" t="str">
            <v>Call Redirected</v>
          </cell>
          <cell r="F1" t="str">
            <v>Hold Calls</v>
          </cell>
          <cell r="G1" t="str">
            <v>% of Calls onHold</v>
          </cell>
          <cell r="H1" t="str">
            <v>Average Duration of Calls</v>
          </cell>
          <cell r="I1" t="str">
            <v>Avg. In Focus Hold Calls</v>
          </cell>
          <cell r="J1" t="str">
            <v>Calls Unattend Time'</v>
          </cell>
        </row>
        <row r="2">
          <cell r="A2" t="str">
            <v>Mum_Abdul Hamid (1008512)</v>
          </cell>
          <cell r="B2">
            <v>98</v>
          </cell>
          <cell r="C2">
            <v>0</v>
          </cell>
          <cell r="D2">
            <v>0</v>
          </cell>
          <cell r="E2">
            <v>0</v>
          </cell>
          <cell r="F2">
            <v>0.10294117647058799</v>
          </cell>
          <cell r="G2">
            <v>0</v>
          </cell>
          <cell r="H2" t="str">
            <v>00:04:13</v>
          </cell>
          <cell r="I2" t="str">
            <v>00:00:01</v>
          </cell>
          <cell r="J2" t="str">
            <v>00:00:09</v>
          </cell>
        </row>
        <row r="3">
          <cell r="A3" t="str">
            <v>Mum_Afzal Husain (1008513)</v>
          </cell>
          <cell r="B3">
            <v>23</v>
          </cell>
          <cell r="C3">
            <v>0</v>
          </cell>
          <cell r="D3">
            <v>0</v>
          </cell>
          <cell r="E3">
            <v>0</v>
          </cell>
          <cell r="F3">
            <v>0.10294117647058799</v>
          </cell>
          <cell r="G3">
            <v>0</v>
          </cell>
          <cell r="H3" t="str">
            <v>00:04:13</v>
          </cell>
          <cell r="I3" t="str">
            <v>00:00:01</v>
          </cell>
          <cell r="J3" t="str">
            <v>00:00:09</v>
          </cell>
        </row>
        <row r="4">
          <cell r="A4" t="str">
            <v>Mum_Anamika Gupta (1008514)</v>
          </cell>
          <cell r="B4">
            <v>28</v>
          </cell>
          <cell r="C4">
            <v>1.4705882352941201E-2</v>
          </cell>
          <cell r="D4">
            <v>0</v>
          </cell>
          <cell r="E4">
            <v>0</v>
          </cell>
          <cell r="F4">
            <v>7.3529411764705899E-2</v>
          </cell>
          <cell r="G4">
            <v>0</v>
          </cell>
          <cell r="H4" t="str">
            <v>00:04:10</v>
          </cell>
          <cell r="I4" t="str">
            <v>00:00:00</v>
          </cell>
          <cell r="J4" t="str">
            <v>00:00:07</v>
          </cell>
        </row>
        <row r="5">
          <cell r="A5" t="str">
            <v>Mum_Anikuttan (1008515)</v>
          </cell>
          <cell r="B5">
            <v>29</v>
          </cell>
          <cell r="C5">
            <v>1.4705882352941201E-2</v>
          </cell>
          <cell r="D5">
            <v>0</v>
          </cell>
          <cell r="E5">
            <v>0</v>
          </cell>
          <cell r="F5">
            <v>7.3529411764705899E-2</v>
          </cell>
          <cell r="G5">
            <v>0</v>
          </cell>
          <cell r="H5" t="str">
            <v>00:04:10</v>
          </cell>
          <cell r="I5" t="str">
            <v>00:00:00</v>
          </cell>
          <cell r="J5" t="str">
            <v>00:00:07</v>
          </cell>
        </row>
        <row r="6">
          <cell r="A6" t="str">
            <v>Mum_Anil Kumar (1008516)</v>
          </cell>
          <cell r="B6">
            <v>93</v>
          </cell>
          <cell r="C6">
            <v>8.3333333333333301E-2</v>
          </cell>
          <cell r="D6">
            <v>0</v>
          </cell>
          <cell r="E6">
            <v>0</v>
          </cell>
          <cell r="F6">
            <v>0.16666666666666699</v>
          </cell>
          <cell r="G6">
            <v>0.1</v>
          </cell>
          <cell r="H6" t="str">
            <v>00:04:25</v>
          </cell>
          <cell r="I6" t="str">
            <v>00:00:59</v>
          </cell>
          <cell r="J6" t="str">
            <v>00:00:11</v>
          </cell>
        </row>
        <row r="7">
          <cell r="A7" t="str">
            <v>Mum_Anita Dixit (1008517)</v>
          </cell>
          <cell r="B7">
            <v>92</v>
          </cell>
          <cell r="C7">
            <v>8.3333333333333301E-2</v>
          </cell>
          <cell r="D7">
            <v>0</v>
          </cell>
          <cell r="E7">
            <v>0</v>
          </cell>
          <cell r="F7">
            <v>0.16666666666666699</v>
          </cell>
          <cell r="G7">
            <v>0.1</v>
          </cell>
          <cell r="H7" t="str">
            <v>00:04:25</v>
          </cell>
          <cell r="I7" t="str">
            <v>00:00:59</v>
          </cell>
          <cell r="J7" t="str">
            <v>00:00:11</v>
          </cell>
        </row>
        <row r="8">
          <cell r="A8" t="str">
            <v>Mum_Anita Ghore (1008518)</v>
          </cell>
          <cell r="B8">
            <v>26</v>
          </cell>
          <cell r="C8">
            <v>5.4545454545454501E-2</v>
          </cell>
          <cell r="D8">
            <v>0</v>
          </cell>
          <cell r="E8">
            <v>1.7857142857142901E-2</v>
          </cell>
          <cell r="F8">
            <v>0.109090909090909</v>
          </cell>
          <cell r="G8">
            <v>0</v>
          </cell>
          <cell r="H8" t="str">
            <v>00:04:26</v>
          </cell>
          <cell r="I8" t="str">
            <v>00:00:00</v>
          </cell>
          <cell r="J8" t="str">
            <v>00:00:14</v>
          </cell>
        </row>
        <row r="9">
          <cell r="A9" t="str">
            <v>Mum_Anjali Deoram (1008519)</v>
          </cell>
          <cell r="B9">
            <v>90</v>
          </cell>
          <cell r="C9">
            <v>5.4545454545454501E-2</v>
          </cell>
          <cell r="D9">
            <v>0</v>
          </cell>
          <cell r="E9">
            <v>1.7857142857142901E-2</v>
          </cell>
          <cell r="F9">
            <v>0.109090909090909</v>
          </cell>
          <cell r="G9">
            <v>0</v>
          </cell>
          <cell r="H9" t="str">
            <v>00:04:26</v>
          </cell>
          <cell r="I9" t="str">
            <v>00:00:00</v>
          </cell>
          <cell r="J9" t="str">
            <v>00:00:14</v>
          </cell>
        </row>
        <row r="10">
          <cell r="A10" t="str">
            <v>Mum_Anjali Sahay (1008520)</v>
          </cell>
          <cell r="B10">
            <v>89</v>
          </cell>
          <cell r="C10">
            <v>0</v>
          </cell>
          <cell r="D10">
            <v>0</v>
          </cell>
          <cell r="E10">
            <v>0</v>
          </cell>
          <cell r="F10">
            <v>6.8181818181818205E-2</v>
          </cell>
          <cell r="G10">
            <v>0</v>
          </cell>
          <cell r="H10" t="str">
            <v>00:03:26</v>
          </cell>
          <cell r="I10" t="str">
            <v>00:00:03</v>
          </cell>
          <cell r="J10" t="str">
            <v>00:00:10</v>
          </cell>
        </row>
        <row r="11">
          <cell r="A11" t="str">
            <v>Mum_Annu Latika (1008521)</v>
          </cell>
          <cell r="B11">
            <v>54</v>
          </cell>
          <cell r="C11">
            <v>0</v>
          </cell>
          <cell r="D11">
            <v>0</v>
          </cell>
          <cell r="E11">
            <v>0</v>
          </cell>
          <cell r="F11">
            <v>6.8181818181818205E-2</v>
          </cell>
          <cell r="G11">
            <v>0</v>
          </cell>
          <cell r="H11" t="str">
            <v>00:03:26</v>
          </cell>
          <cell r="I11" t="str">
            <v>00:00:03</v>
          </cell>
          <cell r="J11" t="str">
            <v>00:00:10</v>
          </cell>
        </row>
        <row r="12">
          <cell r="A12" t="str">
            <v>Mum_Anoop Narayan (1008522)</v>
          </cell>
          <cell r="B12">
            <v>87</v>
          </cell>
          <cell r="C12">
            <v>0</v>
          </cell>
          <cell r="D12">
            <v>0</v>
          </cell>
          <cell r="E12">
            <v>0</v>
          </cell>
          <cell r="F12">
            <v>6.5217391304347797E-2</v>
          </cell>
          <cell r="G12">
            <v>0</v>
          </cell>
          <cell r="H12" t="str">
            <v>00:03:54</v>
          </cell>
          <cell r="I12" t="str">
            <v>00:00:51</v>
          </cell>
          <cell r="J12" t="str">
            <v>00:00:27</v>
          </cell>
        </row>
        <row r="13">
          <cell r="A13" t="str">
            <v>Mum_Anoop Raj (1008523)</v>
          </cell>
          <cell r="B13">
            <v>65</v>
          </cell>
          <cell r="C13">
            <v>0</v>
          </cell>
          <cell r="D13">
            <v>0</v>
          </cell>
          <cell r="E13">
            <v>0</v>
          </cell>
          <cell r="F13">
            <v>6.5217391304347797E-2</v>
          </cell>
          <cell r="G13">
            <v>0</v>
          </cell>
          <cell r="H13" t="str">
            <v>00:03:54</v>
          </cell>
          <cell r="I13" t="str">
            <v>00:00:51</v>
          </cell>
          <cell r="J13" t="str">
            <v>00:00:27</v>
          </cell>
        </row>
        <row r="14">
          <cell r="A14" t="str">
            <v>Mum_Anubhuti Gupta (1008524)</v>
          </cell>
          <cell r="B14">
            <v>85</v>
          </cell>
          <cell r="C14">
            <v>0</v>
          </cell>
          <cell r="D14">
            <v>0</v>
          </cell>
          <cell r="E14">
            <v>0</v>
          </cell>
          <cell r="F14">
            <v>7.69230769230769E-2</v>
          </cell>
          <cell r="G14">
            <v>0</v>
          </cell>
          <cell r="H14" t="str">
            <v>00:04:07</v>
          </cell>
          <cell r="I14" t="str">
            <v>00:00:00</v>
          </cell>
          <cell r="J14" t="str">
            <v>00:00:04</v>
          </cell>
        </row>
        <row r="15">
          <cell r="A15" t="str">
            <v>Mum_Arun Kumar (1008525)</v>
          </cell>
          <cell r="B15">
            <v>65</v>
          </cell>
          <cell r="C15">
            <v>0</v>
          </cell>
          <cell r="D15">
            <v>0</v>
          </cell>
          <cell r="E15">
            <v>0</v>
          </cell>
          <cell r="F15">
            <v>7.69230769230769E-2</v>
          </cell>
          <cell r="G15">
            <v>0</v>
          </cell>
          <cell r="H15" t="str">
            <v>00:04:07</v>
          </cell>
          <cell r="I15" t="str">
            <v>00:00:00</v>
          </cell>
          <cell r="J15" t="str">
            <v>00:00:04</v>
          </cell>
        </row>
        <row r="16">
          <cell r="A16" t="str">
            <v>Mum_Ashish Kumar (1008526)</v>
          </cell>
          <cell r="B16">
            <v>83</v>
          </cell>
          <cell r="C16">
            <v>9.6385542168674704E-2</v>
          </cell>
          <cell r="D16">
            <v>0</v>
          </cell>
          <cell r="E16">
            <v>1.1904761904761901E-2</v>
          </cell>
          <cell r="F16">
            <v>0.132530120481928</v>
          </cell>
          <cell r="G16">
            <v>9.0909090909090898E-2</v>
          </cell>
          <cell r="H16" t="str">
            <v>00:03:54</v>
          </cell>
          <cell r="I16" t="str">
            <v>00:00:26</v>
          </cell>
          <cell r="J16" t="str">
            <v>00:00:16</v>
          </cell>
        </row>
        <row r="17">
          <cell r="A17" t="str">
            <v>Mum_Ashok Kumar (1008527)</v>
          </cell>
          <cell r="B17">
            <v>82</v>
          </cell>
          <cell r="C17">
            <v>9.6385542168674704E-2</v>
          </cell>
          <cell r="D17">
            <v>0</v>
          </cell>
          <cell r="E17">
            <v>1.1904761904761901E-2</v>
          </cell>
          <cell r="F17">
            <v>0.132530120481928</v>
          </cell>
          <cell r="G17">
            <v>9.0909090909090898E-2</v>
          </cell>
          <cell r="H17" t="str">
            <v>00:03:54</v>
          </cell>
          <cell r="I17" t="str">
            <v>00:00:26</v>
          </cell>
          <cell r="J17" t="str">
            <v>00:00:16</v>
          </cell>
        </row>
        <row r="18">
          <cell r="A18" t="str">
            <v>Hyd_Ashok Kumar (1008528)</v>
          </cell>
          <cell r="B18">
            <v>81</v>
          </cell>
          <cell r="C18">
            <v>3.03030303030303E-2</v>
          </cell>
          <cell r="D18">
            <v>0</v>
          </cell>
          <cell r="E18">
            <v>2.8571428571428598E-2</v>
          </cell>
          <cell r="F18">
            <v>7.5757575757575801E-2</v>
          </cell>
          <cell r="G18">
            <v>0</v>
          </cell>
          <cell r="H18" t="str">
            <v>00:04:18</v>
          </cell>
          <cell r="I18" t="str">
            <v>00:00:04</v>
          </cell>
          <cell r="J18" t="str">
            <v>00:00:07</v>
          </cell>
        </row>
        <row r="19">
          <cell r="A19" t="str">
            <v>Hyd_Ashok Kumar (1008529)</v>
          </cell>
          <cell r="B19">
            <v>80</v>
          </cell>
          <cell r="C19">
            <v>3.03030303030303E-2</v>
          </cell>
          <cell r="D19">
            <v>0</v>
          </cell>
          <cell r="E19">
            <v>2.8571428571428598E-2</v>
          </cell>
          <cell r="F19">
            <v>7.5757575757575801E-2</v>
          </cell>
          <cell r="G19">
            <v>0</v>
          </cell>
          <cell r="H19" t="str">
            <v>00:04:18</v>
          </cell>
          <cell r="I19" t="str">
            <v>00:00:04</v>
          </cell>
          <cell r="J19" t="str">
            <v>00:00:07</v>
          </cell>
        </row>
        <row r="20">
          <cell r="A20" t="str">
            <v>Hyd_Ashok Kumar (1008530)</v>
          </cell>
          <cell r="B20">
            <v>79</v>
          </cell>
          <cell r="C20">
            <v>5.9701492537313397E-2</v>
          </cell>
          <cell r="D20">
            <v>0</v>
          </cell>
          <cell r="E20">
            <v>0</v>
          </cell>
          <cell r="F20">
            <v>0.104477611940299</v>
          </cell>
          <cell r="G20">
            <v>0</v>
          </cell>
          <cell r="H20" t="str">
            <v>00:04:22</v>
          </cell>
          <cell r="I20" t="str">
            <v>00:00:01</v>
          </cell>
          <cell r="J20" t="str">
            <v>00:00:04</v>
          </cell>
        </row>
        <row r="21">
          <cell r="A21" t="str">
            <v>Hyd_Ashok Mahto (1008531)</v>
          </cell>
          <cell r="B21">
            <v>78</v>
          </cell>
          <cell r="C21">
            <v>5.9701492537313397E-2</v>
          </cell>
          <cell r="D21">
            <v>0</v>
          </cell>
          <cell r="E21">
            <v>0</v>
          </cell>
          <cell r="F21">
            <v>0.104477611940299</v>
          </cell>
          <cell r="G21">
            <v>0</v>
          </cell>
          <cell r="H21" t="str">
            <v>00:04:22</v>
          </cell>
          <cell r="I21" t="str">
            <v>00:00:01</v>
          </cell>
          <cell r="J21" t="str">
            <v>00:00:04</v>
          </cell>
        </row>
        <row r="22">
          <cell r="A22" t="str">
            <v>Hyd_Atul Kumar (1008532)</v>
          </cell>
          <cell r="B22">
            <v>77</v>
          </cell>
          <cell r="C22">
            <v>2.9850746268656699E-2</v>
          </cell>
          <cell r="D22">
            <v>0</v>
          </cell>
          <cell r="E22">
            <v>0</v>
          </cell>
          <cell r="F22">
            <v>0.119402985074627</v>
          </cell>
          <cell r="G22">
            <v>0</v>
          </cell>
          <cell r="H22" t="str">
            <v>00:04:04</v>
          </cell>
          <cell r="I22" t="str">
            <v>00:00:39</v>
          </cell>
          <cell r="J22" t="str">
            <v>00:00:09</v>
          </cell>
        </row>
        <row r="23">
          <cell r="A23" t="str">
            <v>Hyd_Azam (1008533)</v>
          </cell>
          <cell r="B23">
            <v>76</v>
          </cell>
          <cell r="C23">
            <v>2.9850746268656699E-2</v>
          </cell>
          <cell r="D23">
            <v>0</v>
          </cell>
          <cell r="E23">
            <v>0</v>
          </cell>
          <cell r="F23">
            <v>0.119402985074627</v>
          </cell>
          <cell r="G23">
            <v>0</v>
          </cell>
          <cell r="H23" t="str">
            <v>00:04:04</v>
          </cell>
          <cell r="I23" t="str">
            <v>00:00:39</v>
          </cell>
          <cell r="J23" t="str">
            <v>00:00:09</v>
          </cell>
        </row>
        <row r="24">
          <cell r="A24" t="str">
            <v>Hyd_Bhagwat Singh (1008534)</v>
          </cell>
          <cell r="B24">
            <v>75</v>
          </cell>
          <cell r="C24">
            <v>7.2727272727272696E-2</v>
          </cell>
          <cell r="D24">
            <v>0</v>
          </cell>
          <cell r="E24">
            <v>1.7543859649122799E-2</v>
          </cell>
          <cell r="F24">
            <v>7.2727272727272696E-2</v>
          </cell>
          <cell r="G24">
            <v>0</v>
          </cell>
          <cell r="H24" t="str">
            <v>00:03:45</v>
          </cell>
          <cell r="I24" t="str">
            <v>00:00:00</v>
          </cell>
          <cell r="J24" t="str">
            <v>00:00:23</v>
          </cell>
        </row>
        <row r="25">
          <cell r="A25" t="str">
            <v>Hyd_Bindu Nair (1008535)</v>
          </cell>
          <cell r="B25">
            <v>74</v>
          </cell>
          <cell r="C25">
            <v>7.2727272727272696E-2</v>
          </cell>
          <cell r="D25">
            <v>0</v>
          </cell>
          <cell r="E25">
            <v>1.7543859649122799E-2</v>
          </cell>
          <cell r="F25">
            <v>7.2727272727272696E-2</v>
          </cell>
          <cell r="G25">
            <v>0</v>
          </cell>
          <cell r="H25" t="str">
            <v>00:03:45</v>
          </cell>
          <cell r="I25" t="str">
            <v>00:00:00</v>
          </cell>
          <cell r="J25" t="str">
            <v>00:00:23</v>
          </cell>
        </row>
        <row r="26">
          <cell r="A26" t="str">
            <v>Hyd_Daleep Singh (1008536)</v>
          </cell>
          <cell r="B26">
            <v>73</v>
          </cell>
          <cell r="C26">
            <v>9.0909090909090898E-2</v>
          </cell>
          <cell r="D26">
            <v>0</v>
          </cell>
          <cell r="E26">
            <v>0</v>
          </cell>
          <cell r="F26">
            <v>0.10606060606060599</v>
          </cell>
          <cell r="G26">
            <v>0</v>
          </cell>
          <cell r="H26" t="str">
            <v>00:03:45</v>
          </cell>
          <cell r="I26" t="str">
            <v>00:00:01</v>
          </cell>
          <cell r="J26" t="str">
            <v>00:00:25</v>
          </cell>
        </row>
        <row r="27">
          <cell r="A27" t="str">
            <v>Hyd_Deepak Kumar (1008537)</v>
          </cell>
          <cell r="B27">
            <v>72</v>
          </cell>
          <cell r="C27">
            <v>9.0909090909090898E-2</v>
          </cell>
          <cell r="D27">
            <v>0</v>
          </cell>
          <cell r="E27">
            <v>0</v>
          </cell>
          <cell r="F27">
            <v>0.10606060606060599</v>
          </cell>
          <cell r="G27">
            <v>0</v>
          </cell>
          <cell r="H27" t="str">
            <v>00:03:45</v>
          </cell>
          <cell r="I27" t="str">
            <v>00:00:01</v>
          </cell>
          <cell r="J27" t="str">
            <v>00:00:25</v>
          </cell>
        </row>
        <row r="28">
          <cell r="A28" t="str">
            <v>Hyd_Deepika Nigam (1008538)</v>
          </cell>
          <cell r="B28">
            <v>71</v>
          </cell>
          <cell r="C28">
            <v>8.0645161290322606E-2</v>
          </cell>
          <cell r="D28">
            <v>0</v>
          </cell>
          <cell r="E28">
            <v>0</v>
          </cell>
          <cell r="F28">
            <v>0.14516129032258099</v>
          </cell>
          <cell r="G28">
            <v>0.11111111111111099</v>
          </cell>
          <cell r="H28" t="str">
            <v>00:04:07</v>
          </cell>
          <cell r="I28" t="str">
            <v>00:00:28</v>
          </cell>
          <cell r="J28" t="str">
            <v>00:00:20</v>
          </cell>
        </row>
        <row r="29">
          <cell r="A29" t="str">
            <v>Hyd_Dinesh Kumar (1008539)</v>
          </cell>
          <cell r="B29">
            <v>70</v>
          </cell>
          <cell r="C29">
            <v>8.0645161290322606E-2</v>
          </cell>
          <cell r="D29">
            <v>0</v>
          </cell>
          <cell r="E29">
            <v>0</v>
          </cell>
          <cell r="F29">
            <v>0.14516129032258099</v>
          </cell>
          <cell r="G29">
            <v>0.11111111111111099</v>
          </cell>
          <cell r="H29" t="str">
            <v>00:04:07</v>
          </cell>
          <cell r="I29" t="str">
            <v>00:00:28</v>
          </cell>
          <cell r="J29" t="str">
            <v>00:00:20</v>
          </cell>
        </row>
        <row r="30">
          <cell r="A30" t="str">
            <v>Hyd_Hari Kumar (1008540)</v>
          </cell>
          <cell r="B30">
            <v>69</v>
          </cell>
          <cell r="C30">
            <v>0.138461538461538</v>
          </cell>
          <cell r="D30">
            <v>0</v>
          </cell>
          <cell r="E30">
            <v>1.49253731343284E-2</v>
          </cell>
          <cell r="F30">
            <v>0.21538461538461501</v>
          </cell>
          <cell r="G30">
            <v>0</v>
          </cell>
          <cell r="H30" t="str">
            <v>00:04:07</v>
          </cell>
          <cell r="I30" t="str">
            <v>00:01:00</v>
          </cell>
          <cell r="J30" t="str">
            <v>00:00:14</v>
          </cell>
        </row>
        <row r="31">
          <cell r="A31" t="str">
            <v>Hyd_Heeramani Choudhary (1008541)</v>
          </cell>
          <cell r="B31">
            <v>68</v>
          </cell>
          <cell r="C31">
            <v>0.138461538461538</v>
          </cell>
          <cell r="D31">
            <v>0</v>
          </cell>
          <cell r="E31">
            <v>1.49253731343284E-2</v>
          </cell>
          <cell r="F31">
            <v>0.21538461538461501</v>
          </cell>
          <cell r="G31">
            <v>0</v>
          </cell>
          <cell r="H31" t="str">
            <v>00:04:07</v>
          </cell>
          <cell r="I31" t="str">
            <v>00:01:00</v>
          </cell>
          <cell r="J31" t="str">
            <v>00:00:14</v>
          </cell>
        </row>
        <row r="32">
          <cell r="A32" t="str">
            <v>Hyd_Indra Pal (1008542)</v>
          </cell>
          <cell r="B32">
            <v>67</v>
          </cell>
          <cell r="C32">
            <v>1.7543859649122799E-2</v>
          </cell>
          <cell r="D32">
            <v>0</v>
          </cell>
          <cell r="E32">
            <v>0</v>
          </cell>
          <cell r="F32">
            <v>5.2631578947368397E-2</v>
          </cell>
          <cell r="G32">
            <v>0</v>
          </cell>
          <cell r="H32" t="str">
            <v>00:04:13</v>
          </cell>
          <cell r="I32" t="str">
            <v>00:00:02</v>
          </cell>
          <cell r="J32" t="str">
            <v>00:00:09</v>
          </cell>
        </row>
        <row r="33">
          <cell r="A33" t="str">
            <v>Hyd_Indra Singh (1008543)</v>
          </cell>
          <cell r="B33">
            <v>66</v>
          </cell>
          <cell r="C33">
            <v>1.7543859649122799E-2</v>
          </cell>
          <cell r="D33">
            <v>0</v>
          </cell>
          <cell r="E33">
            <v>0</v>
          </cell>
          <cell r="F33">
            <v>5.2631578947368397E-2</v>
          </cell>
          <cell r="G33">
            <v>0</v>
          </cell>
          <cell r="H33" t="str">
            <v>00:04:13</v>
          </cell>
          <cell r="I33" t="str">
            <v>00:00:02</v>
          </cell>
          <cell r="J33" t="str">
            <v>00:00:09</v>
          </cell>
        </row>
        <row r="34">
          <cell r="A34" t="str">
            <v>Hyd_Jagdish Chandra (1008544)</v>
          </cell>
          <cell r="B34">
            <v>65</v>
          </cell>
          <cell r="C34">
            <v>8.9552238805970102E-2</v>
          </cell>
          <cell r="D34">
            <v>0</v>
          </cell>
          <cell r="E34">
            <v>1.4705882352941201E-2</v>
          </cell>
          <cell r="F34">
            <v>0.119402985074627</v>
          </cell>
          <cell r="G34">
            <v>0.125</v>
          </cell>
          <cell r="H34" t="str">
            <v>00:04:06</v>
          </cell>
          <cell r="I34" t="str">
            <v>00:00:00</v>
          </cell>
          <cell r="J34" t="str">
            <v>00:00:06</v>
          </cell>
        </row>
        <row r="35">
          <cell r="A35" t="str">
            <v>Hyd_Jairaj Vatham (1008545)</v>
          </cell>
          <cell r="B35">
            <v>64</v>
          </cell>
          <cell r="C35">
            <v>8.9552238805970102E-2</v>
          </cell>
          <cell r="D35">
            <v>0</v>
          </cell>
          <cell r="E35">
            <v>1.4705882352941201E-2</v>
          </cell>
          <cell r="F35">
            <v>0.119402985074627</v>
          </cell>
          <cell r="G35">
            <v>0.125</v>
          </cell>
          <cell r="H35" t="str">
            <v>00:04:06</v>
          </cell>
          <cell r="I35" t="str">
            <v>00:00:00</v>
          </cell>
          <cell r="J35" t="str">
            <v>00:00:06</v>
          </cell>
        </row>
        <row r="36">
          <cell r="A36" t="str">
            <v>Hyd_Janardan Mishra (1008546)</v>
          </cell>
          <cell r="B36">
            <v>63</v>
          </cell>
          <cell r="C36">
            <v>0.140625</v>
          </cell>
          <cell r="D36">
            <v>0</v>
          </cell>
          <cell r="E36">
            <v>0</v>
          </cell>
          <cell r="F36">
            <v>0.171875</v>
          </cell>
          <cell r="G36">
            <v>0</v>
          </cell>
          <cell r="H36" t="str">
            <v>00:04:27</v>
          </cell>
          <cell r="I36" t="str">
            <v>00:00:00</v>
          </cell>
          <cell r="J36" t="str">
            <v>00:00:03</v>
          </cell>
        </row>
        <row r="37">
          <cell r="A37" t="str">
            <v>Hyd_Jitendra Kumar (1008547)</v>
          </cell>
          <cell r="B37">
            <v>62</v>
          </cell>
          <cell r="C37">
            <v>0.140625</v>
          </cell>
          <cell r="D37">
            <v>0</v>
          </cell>
          <cell r="E37">
            <v>0</v>
          </cell>
          <cell r="F37">
            <v>0.171875</v>
          </cell>
          <cell r="G37">
            <v>0</v>
          </cell>
          <cell r="H37" t="str">
            <v>00:04:27</v>
          </cell>
          <cell r="I37" t="str">
            <v>00:00:00</v>
          </cell>
          <cell r="J37" t="str">
            <v>00:00:03</v>
          </cell>
        </row>
        <row r="38">
          <cell r="A38" t="str">
            <v>Hyd_John D'Costa (1008548)</v>
          </cell>
          <cell r="B38">
            <v>61</v>
          </cell>
          <cell r="C38">
            <v>0.10344827586206901</v>
          </cell>
          <cell r="D38">
            <v>0</v>
          </cell>
          <cell r="E38">
            <v>0</v>
          </cell>
          <cell r="F38">
            <v>0.24137931034482701</v>
          </cell>
          <cell r="G38">
            <v>0</v>
          </cell>
          <cell r="H38" t="str">
            <v>00:07:56</v>
          </cell>
          <cell r="I38" t="str">
            <v>00:01:32</v>
          </cell>
          <cell r="J38" t="str">
            <v>00:00:25</v>
          </cell>
        </row>
        <row r="39">
          <cell r="A39" t="str">
            <v>Hyd_Julie S (1008549)</v>
          </cell>
          <cell r="B39">
            <v>60</v>
          </cell>
          <cell r="C39">
            <v>0.10344827586206901</v>
          </cell>
          <cell r="D39">
            <v>0</v>
          </cell>
          <cell r="E39">
            <v>0</v>
          </cell>
          <cell r="F39">
            <v>0.24137931034482701</v>
          </cell>
          <cell r="G39">
            <v>0</v>
          </cell>
          <cell r="H39" t="str">
            <v>00:07:56</v>
          </cell>
          <cell r="I39" t="str">
            <v>00:01:32</v>
          </cell>
          <cell r="J39" t="str">
            <v>00:00:25</v>
          </cell>
        </row>
        <row r="40">
          <cell r="A40" t="str">
            <v>Hyd_Jyoti Tulsani (1008550)</v>
          </cell>
          <cell r="B40">
            <v>59</v>
          </cell>
          <cell r="C40">
            <v>7.3529411764705899E-2</v>
          </cell>
          <cell r="D40">
            <v>0</v>
          </cell>
          <cell r="E40">
            <v>0</v>
          </cell>
          <cell r="F40">
            <v>0.11764705882352899</v>
          </cell>
          <cell r="G40">
            <v>0</v>
          </cell>
          <cell r="H40" t="str">
            <v>00:04:08</v>
          </cell>
          <cell r="I40" t="str">
            <v>00:00:07</v>
          </cell>
          <cell r="J40" t="str">
            <v>00:00:05</v>
          </cell>
        </row>
        <row r="41">
          <cell r="A41" t="str">
            <v>Hyd_Kahkasha Parveen (1008551)</v>
          </cell>
          <cell r="B41">
            <v>58</v>
          </cell>
          <cell r="C41">
            <v>7.3529411764705899E-2</v>
          </cell>
          <cell r="D41">
            <v>0</v>
          </cell>
          <cell r="E41">
            <v>0</v>
          </cell>
          <cell r="F41">
            <v>0.11764705882352899</v>
          </cell>
          <cell r="G41">
            <v>0</v>
          </cell>
          <cell r="H41" t="str">
            <v>00:04:08</v>
          </cell>
          <cell r="I41" t="str">
            <v>00:00:07</v>
          </cell>
          <cell r="J41" t="str">
            <v>00:00:05</v>
          </cell>
        </row>
        <row r="42">
          <cell r="A42" t="str">
            <v>Hyd_Kailash Nath (1008552)</v>
          </cell>
          <cell r="B42">
            <v>57</v>
          </cell>
          <cell r="C42">
            <v>4.91803278688525E-2</v>
          </cell>
          <cell r="D42">
            <v>0</v>
          </cell>
          <cell r="E42">
            <v>0</v>
          </cell>
          <cell r="F42">
            <v>9.8360655737704902E-2</v>
          </cell>
          <cell r="G42">
            <v>0</v>
          </cell>
          <cell r="H42" t="str">
            <v>00:04:35</v>
          </cell>
          <cell r="I42" t="str">
            <v>00:00:00</v>
          </cell>
          <cell r="J42" t="str">
            <v>00:00:04</v>
          </cell>
        </row>
        <row r="43">
          <cell r="A43" t="str">
            <v>Hyd_Kalpana Agrawal (1008553)</v>
          </cell>
          <cell r="B43">
            <v>56</v>
          </cell>
          <cell r="C43">
            <v>4.91803278688525E-2</v>
          </cell>
          <cell r="D43">
            <v>0</v>
          </cell>
          <cell r="E43">
            <v>0</v>
          </cell>
          <cell r="F43">
            <v>9.8360655737704902E-2</v>
          </cell>
          <cell r="G43">
            <v>0</v>
          </cell>
          <cell r="H43" t="str">
            <v>00:04:35</v>
          </cell>
          <cell r="I43" t="str">
            <v>00:00:00</v>
          </cell>
          <cell r="J43" t="str">
            <v>00:00:04</v>
          </cell>
        </row>
        <row r="44">
          <cell r="A44" t="str">
            <v>Hyd_Kamini Kumar (1008554)</v>
          </cell>
          <cell r="B44">
            <v>55</v>
          </cell>
          <cell r="C44">
            <v>1.5625E-2</v>
          </cell>
          <cell r="D44">
            <v>0</v>
          </cell>
          <cell r="E44">
            <v>0</v>
          </cell>
          <cell r="F44">
            <v>1.5625E-2</v>
          </cell>
          <cell r="G44">
            <v>0</v>
          </cell>
          <cell r="H44" t="str">
            <v>00:04:34</v>
          </cell>
          <cell r="I44" t="str">
            <v>00:00:03</v>
          </cell>
          <cell r="J44" t="str">
            <v>00:00:05</v>
          </cell>
        </row>
        <row r="45">
          <cell r="A45" t="str">
            <v>Hyd_Kamini Tiwari (1008555)</v>
          </cell>
          <cell r="B45">
            <v>54</v>
          </cell>
          <cell r="C45">
            <v>1.5625E-2</v>
          </cell>
          <cell r="D45">
            <v>0</v>
          </cell>
          <cell r="E45">
            <v>0</v>
          </cell>
          <cell r="F45">
            <v>1.5625E-2</v>
          </cell>
          <cell r="G45">
            <v>0</v>
          </cell>
          <cell r="H45" t="str">
            <v>00:04:34</v>
          </cell>
          <cell r="I45" t="str">
            <v>00:00:03</v>
          </cell>
          <cell r="J45" t="str">
            <v>00:00:05</v>
          </cell>
        </row>
        <row r="46">
          <cell r="A46" t="str">
            <v>Hyd_Kavita Sharma (1008556)</v>
          </cell>
          <cell r="B46">
            <v>53</v>
          </cell>
          <cell r="C46">
            <v>3.5714285714285698E-2</v>
          </cell>
          <cell r="D46">
            <v>0</v>
          </cell>
          <cell r="E46">
            <v>0</v>
          </cell>
          <cell r="F46">
            <v>5.3571428571428603E-2</v>
          </cell>
          <cell r="G46">
            <v>0</v>
          </cell>
          <cell r="H46" t="str">
            <v>00:03:50</v>
          </cell>
          <cell r="I46" t="str">
            <v>00:00:41</v>
          </cell>
          <cell r="J46" t="str">
            <v>00:00:34</v>
          </cell>
        </row>
        <row r="47">
          <cell r="A47" t="str">
            <v>Hyd_Kiran Khubchandani (1008557)</v>
          </cell>
          <cell r="B47">
            <v>52</v>
          </cell>
          <cell r="C47">
            <v>3.5714285714285698E-2</v>
          </cell>
          <cell r="D47">
            <v>0</v>
          </cell>
          <cell r="E47">
            <v>0</v>
          </cell>
          <cell r="F47">
            <v>5.3571428571428603E-2</v>
          </cell>
          <cell r="G47">
            <v>0</v>
          </cell>
          <cell r="H47" t="str">
            <v>00:03:50</v>
          </cell>
          <cell r="I47" t="str">
            <v>00:00:41</v>
          </cell>
          <cell r="J47" t="str">
            <v>00:00:34</v>
          </cell>
        </row>
        <row r="48">
          <cell r="A48" t="str">
            <v>Hyd_Kisun Sah (1008558)</v>
          </cell>
          <cell r="B48">
            <v>51</v>
          </cell>
          <cell r="C48">
            <v>3.4482758620689703E-2</v>
          </cell>
          <cell r="D48">
            <v>0</v>
          </cell>
          <cell r="E48">
            <v>0</v>
          </cell>
          <cell r="F48">
            <v>0.10344827586206901</v>
          </cell>
          <cell r="G48">
            <v>0.16666666666666699</v>
          </cell>
          <cell r="H48" t="str">
            <v>00:04:05</v>
          </cell>
          <cell r="I48" t="str">
            <v>00:00:06</v>
          </cell>
          <cell r="J48" t="str">
            <v>00:00:10</v>
          </cell>
        </row>
        <row r="49">
          <cell r="A49" t="str">
            <v>Hyd_Krishana Kumar (1008559)</v>
          </cell>
          <cell r="B49">
            <v>50</v>
          </cell>
          <cell r="C49">
            <v>3.4482758620689703E-2</v>
          </cell>
          <cell r="D49">
            <v>0</v>
          </cell>
          <cell r="E49">
            <v>0</v>
          </cell>
          <cell r="F49">
            <v>0.10344827586206901</v>
          </cell>
          <cell r="G49">
            <v>0.16666666666666699</v>
          </cell>
          <cell r="H49" t="str">
            <v>00:04:05</v>
          </cell>
          <cell r="I49" t="str">
            <v>00:00:06</v>
          </cell>
          <cell r="J49" t="str">
            <v>00:00:10</v>
          </cell>
        </row>
        <row r="50">
          <cell r="A50" t="str">
            <v>Hyd_Kunj Bihari (1008560)</v>
          </cell>
          <cell r="B50">
            <v>49</v>
          </cell>
          <cell r="C50">
            <v>4.3478260869565202E-2</v>
          </cell>
          <cell r="D50">
            <v>0</v>
          </cell>
          <cell r="E50">
            <v>5.4794520547945202E-2</v>
          </cell>
          <cell r="F50">
            <v>7.2463768115942004E-2</v>
          </cell>
          <cell r="G50">
            <v>0.2</v>
          </cell>
          <cell r="H50" t="str">
            <v>00:03:57</v>
          </cell>
          <cell r="I50" t="str">
            <v>00:01:29</v>
          </cell>
          <cell r="J50" t="str">
            <v>00:00:19</v>
          </cell>
        </row>
        <row r="51">
          <cell r="A51" t="str">
            <v>Hyd_Leena George (1008561)</v>
          </cell>
          <cell r="B51">
            <v>48</v>
          </cell>
          <cell r="C51">
            <v>4.3478260869565202E-2</v>
          </cell>
          <cell r="D51">
            <v>0</v>
          </cell>
          <cell r="E51">
            <v>5.4794520547945202E-2</v>
          </cell>
          <cell r="F51">
            <v>7.2463768115942004E-2</v>
          </cell>
          <cell r="G51">
            <v>0.2</v>
          </cell>
          <cell r="H51" t="str">
            <v>00:03:57</v>
          </cell>
          <cell r="I51" t="str">
            <v>00:01:29</v>
          </cell>
          <cell r="J51" t="str">
            <v>00:00:19</v>
          </cell>
        </row>
        <row r="52">
          <cell r="A52" t="str">
            <v>Hyd_Lilly Lucy (1008562)</v>
          </cell>
          <cell r="B52">
            <v>47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 t="str">
            <v>00:04:47</v>
          </cell>
          <cell r="J52" t="str">
            <v>00:00:08</v>
          </cell>
        </row>
        <row r="53">
          <cell r="A53" t="str">
            <v>Hyd_Mangal Singh (1008563)</v>
          </cell>
          <cell r="B53">
            <v>46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 t="str">
            <v>00:04:47</v>
          </cell>
          <cell r="J53" t="str">
            <v>00:00:08</v>
          </cell>
        </row>
        <row r="54">
          <cell r="A54" t="str">
            <v>Hyd_Manisha Shrivastava (1008564)</v>
          </cell>
          <cell r="B54">
            <v>45</v>
          </cell>
          <cell r="C54">
            <v>0.11111111111111099</v>
          </cell>
          <cell r="D54">
            <v>0</v>
          </cell>
          <cell r="E54">
            <v>0</v>
          </cell>
          <cell r="F54">
            <v>0.22222222222222199</v>
          </cell>
          <cell r="G54">
            <v>0</v>
          </cell>
          <cell r="H54" t="str">
            <v>00:03:54</v>
          </cell>
          <cell r="I54" t="str">
            <v>00:00:23</v>
          </cell>
          <cell r="J54" t="str">
            <v>00:00:04</v>
          </cell>
        </row>
        <row r="55">
          <cell r="A55" t="str">
            <v>Hyd_Manjusha Sinha (1008565)</v>
          </cell>
          <cell r="B55">
            <v>44</v>
          </cell>
          <cell r="C55">
            <v>0.11111111111111099</v>
          </cell>
          <cell r="D55">
            <v>0</v>
          </cell>
          <cell r="E55">
            <v>0</v>
          </cell>
          <cell r="F55">
            <v>0.22222222222222199</v>
          </cell>
          <cell r="G55">
            <v>0</v>
          </cell>
          <cell r="H55" t="str">
            <v>00:03:54</v>
          </cell>
          <cell r="I55" t="str">
            <v>00:00:23</v>
          </cell>
          <cell r="J55" t="str">
            <v>00:00:04</v>
          </cell>
        </row>
        <row r="56">
          <cell r="A56" t="str">
            <v>Hyd_ManjuTiwari Lab (1008566)</v>
          </cell>
          <cell r="B56">
            <v>43</v>
          </cell>
          <cell r="C56">
            <v>0.14492753623188401</v>
          </cell>
          <cell r="D56">
            <v>0</v>
          </cell>
          <cell r="E56">
            <v>0</v>
          </cell>
          <cell r="F56">
            <v>0.202898550724638</v>
          </cell>
          <cell r="G56">
            <v>7.1428571428571397E-2</v>
          </cell>
          <cell r="H56" t="str">
            <v>00:03:50</v>
          </cell>
          <cell r="I56" t="str">
            <v>00:00:17</v>
          </cell>
          <cell r="J56" t="str">
            <v>00:00:29</v>
          </cell>
        </row>
        <row r="57">
          <cell r="A57" t="str">
            <v>Hyd_Manoj Kumar (1008567)</v>
          </cell>
          <cell r="B57">
            <v>42</v>
          </cell>
          <cell r="C57">
            <v>0.14492753623188401</v>
          </cell>
          <cell r="D57">
            <v>0</v>
          </cell>
          <cell r="E57">
            <v>0</v>
          </cell>
          <cell r="F57">
            <v>0.202898550724638</v>
          </cell>
          <cell r="G57">
            <v>7.1428571428571397E-2</v>
          </cell>
          <cell r="H57" t="str">
            <v>00:03:50</v>
          </cell>
          <cell r="I57" t="str">
            <v>00:00:17</v>
          </cell>
          <cell r="J57" t="str">
            <v>00:00:29</v>
          </cell>
        </row>
        <row r="58">
          <cell r="A58" t="str">
            <v>Hyd_Manoj Kumar (1008568)</v>
          </cell>
          <cell r="B58">
            <v>41</v>
          </cell>
          <cell r="C58">
            <v>6.7796610169491497E-2</v>
          </cell>
          <cell r="D58">
            <v>0</v>
          </cell>
          <cell r="E58">
            <v>0</v>
          </cell>
          <cell r="F58">
            <v>0.11864406779661001</v>
          </cell>
          <cell r="G58">
            <v>0</v>
          </cell>
          <cell r="H58" t="str">
            <v>00:03:47</v>
          </cell>
          <cell r="I58" t="str">
            <v>00:00:18</v>
          </cell>
          <cell r="J58" t="str">
            <v>00:00:27</v>
          </cell>
        </row>
        <row r="59">
          <cell r="A59" t="str">
            <v>Hyd_Masroor Adil (1008569)</v>
          </cell>
          <cell r="B59">
            <v>40</v>
          </cell>
          <cell r="C59">
            <v>6.7796610169491497E-2</v>
          </cell>
          <cell r="D59">
            <v>0</v>
          </cell>
          <cell r="E59">
            <v>0</v>
          </cell>
          <cell r="F59">
            <v>0.11864406779661001</v>
          </cell>
          <cell r="G59">
            <v>0</v>
          </cell>
          <cell r="H59" t="str">
            <v>00:03:47</v>
          </cell>
          <cell r="I59" t="str">
            <v>00:00:18</v>
          </cell>
          <cell r="J59" t="str">
            <v>00:00:27</v>
          </cell>
        </row>
        <row r="60">
          <cell r="A60" t="str">
            <v>Hyd_Meena Zinjare (1008570)</v>
          </cell>
          <cell r="B60">
            <v>39</v>
          </cell>
          <cell r="C60">
            <v>2.6315789473684199E-2</v>
          </cell>
          <cell r="D60">
            <v>0</v>
          </cell>
          <cell r="E60">
            <v>4.9382716049382699E-2</v>
          </cell>
          <cell r="F60">
            <v>7.8947368421052599E-2</v>
          </cell>
          <cell r="G60">
            <v>0.16666666666666699</v>
          </cell>
          <cell r="H60" t="str">
            <v>00:03:07</v>
          </cell>
          <cell r="I60" t="str">
            <v>00:01:21</v>
          </cell>
          <cell r="J60" t="str">
            <v>00:00:19</v>
          </cell>
        </row>
        <row r="61">
          <cell r="A61" t="str">
            <v>Hyd_Mehnaz Khan (1008571)</v>
          </cell>
          <cell r="B61">
            <v>38</v>
          </cell>
          <cell r="C61">
            <v>2.6315789473684199E-2</v>
          </cell>
          <cell r="D61">
            <v>0</v>
          </cell>
          <cell r="E61">
            <v>4.9382716049382699E-2</v>
          </cell>
          <cell r="F61">
            <v>7.8947368421052599E-2</v>
          </cell>
          <cell r="G61">
            <v>0.16666666666666699</v>
          </cell>
          <cell r="H61" t="str">
            <v>00:03:07</v>
          </cell>
          <cell r="I61" t="str">
            <v>00:01:21</v>
          </cell>
          <cell r="J61" t="str">
            <v>00:00:19</v>
          </cell>
        </row>
        <row r="62">
          <cell r="A62" t="str">
            <v>Hyd_Mercy Thampi (1008572)</v>
          </cell>
          <cell r="B62">
            <v>37</v>
          </cell>
          <cell r="C62">
            <v>3.7974683544303799E-2</v>
          </cell>
          <cell r="D62">
            <v>0</v>
          </cell>
          <cell r="E62">
            <v>0</v>
          </cell>
          <cell r="F62">
            <v>7.5949367088607597E-2</v>
          </cell>
          <cell r="G62">
            <v>0.16666666666666699</v>
          </cell>
          <cell r="H62" t="str">
            <v>00:03:28</v>
          </cell>
          <cell r="I62" t="str">
            <v>00:00:17</v>
          </cell>
          <cell r="J62" t="str">
            <v>00:00:23</v>
          </cell>
        </row>
        <row r="63">
          <cell r="A63" t="str">
            <v>Hyd_Miny Mole (1008573)</v>
          </cell>
          <cell r="B63">
            <v>36</v>
          </cell>
          <cell r="C63">
            <v>3.7974683544303799E-2</v>
          </cell>
          <cell r="D63">
            <v>0</v>
          </cell>
          <cell r="E63">
            <v>0</v>
          </cell>
          <cell r="F63">
            <v>7.5949367088607597E-2</v>
          </cell>
          <cell r="G63">
            <v>0.16666666666666699</v>
          </cell>
          <cell r="H63" t="str">
            <v>00:03:28</v>
          </cell>
          <cell r="I63" t="str">
            <v>00:00:17</v>
          </cell>
          <cell r="J63" t="str">
            <v>00:00:23</v>
          </cell>
        </row>
        <row r="64">
          <cell r="A64" t="str">
            <v>Hyd_Mohd Rafi (1008574)</v>
          </cell>
          <cell r="B64">
            <v>35</v>
          </cell>
          <cell r="C64">
            <v>8.7719298245614002E-2</v>
          </cell>
          <cell r="D64">
            <v>0</v>
          </cell>
          <cell r="E64">
            <v>0</v>
          </cell>
          <cell r="F64">
            <v>0.105263157894737</v>
          </cell>
          <cell r="G64">
            <v>0</v>
          </cell>
          <cell r="H64" t="str">
            <v>00:04:29</v>
          </cell>
          <cell r="I64" t="str">
            <v>00:00:17</v>
          </cell>
          <cell r="J64" t="str">
            <v>00:00:50</v>
          </cell>
        </row>
        <row r="65">
          <cell r="A65" t="str">
            <v>Hyd_Mubeen Khan (1008575)</v>
          </cell>
          <cell r="B65">
            <v>34</v>
          </cell>
          <cell r="C65">
            <v>8.7719298245614002E-2</v>
          </cell>
          <cell r="D65">
            <v>0</v>
          </cell>
          <cell r="E65">
            <v>0</v>
          </cell>
          <cell r="F65">
            <v>0.105263157894737</v>
          </cell>
          <cell r="G65">
            <v>0</v>
          </cell>
          <cell r="H65" t="str">
            <v>00:04:29</v>
          </cell>
          <cell r="I65" t="str">
            <v>00:00:17</v>
          </cell>
          <cell r="J65" t="str">
            <v>00:00:50</v>
          </cell>
        </row>
        <row r="66">
          <cell r="A66" t="str">
            <v>Hyd_Mukesh Nagar (1008576)</v>
          </cell>
          <cell r="B66">
            <v>33</v>
          </cell>
          <cell r="C66">
            <v>0.107692307692308</v>
          </cell>
          <cell r="D66">
            <v>0</v>
          </cell>
          <cell r="E66">
            <v>0</v>
          </cell>
          <cell r="F66">
            <v>0.16923076923076899</v>
          </cell>
          <cell r="G66">
            <v>0</v>
          </cell>
          <cell r="H66" t="str">
            <v>00:04:15</v>
          </cell>
          <cell r="I66" t="str">
            <v>00:00:03</v>
          </cell>
          <cell r="J66" t="str">
            <v>00:00:10</v>
          </cell>
        </row>
        <row r="67">
          <cell r="A67" t="str">
            <v>Hyd_Nandu Kumar (1008577)</v>
          </cell>
          <cell r="B67">
            <v>32</v>
          </cell>
          <cell r="C67">
            <v>0.107692307692308</v>
          </cell>
          <cell r="D67">
            <v>0</v>
          </cell>
          <cell r="E67">
            <v>0</v>
          </cell>
          <cell r="F67">
            <v>0.16923076923076899</v>
          </cell>
          <cell r="G67">
            <v>0</v>
          </cell>
          <cell r="H67" t="str">
            <v>00:04:15</v>
          </cell>
          <cell r="I67" t="str">
            <v>00:00:03</v>
          </cell>
          <cell r="J67" t="str">
            <v>00:00:10</v>
          </cell>
        </row>
        <row r="68">
          <cell r="A68" t="str">
            <v>Hyd_Narayan Singh (1008578)</v>
          </cell>
          <cell r="B68">
            <v>31</v>
          </cell>
          <cell r="C68">
            <v>7.3529411764705899E-2</v>
          </cell>
          <cell r="D68">
            <v>0</v>
          </cell>
          <cell r="E68">
            <v>0</v>
          </cell>
          <cell r="F68">
            <v>0.13235294117647001</v>
          </cell>
          <cell r="G68">
            <v>0</v>
          </cell>
          <cell r="H68" t="str">
            <v>00:04:17</v>
          </cell>
          <cell r="I68" t="str">
            <v>00:00:00</v>
          </cell>
          <cell r="J68" t="str">
            <v>00:00:09</v>
          </cell>
        </row>
        <row r="69">
          <cell r="A69" t="str">
            <v>Hyd_Neeraj Saxena (1008579)</v>
          </cell>
          <cell r="B69">
            <v>30</v>
          </cell>
          <cell r="C69">
            <v>7.3529411764705899E-2</v>
          </cell>
          <cell r="D69">
            <v>0</v>
          </cell>
          <cell r="E69">
            <v>0</v>
          </cell>
          <cell r="F69">
            <v>0.13235294117647001</v>
          </cell>
          <cell r="G69">
            <v>0</v>
          </cell>
          <cell r="H69" t="str">
            <v>00:04:17</v>
          </cell>
          <cell r="I69" t="str">
            <v>00:00:00</v>
          </cell>
          <cell r="J69" t="str">
            <v>00:00:09</v>
          </cell>
        </row>
        <row r="70">
          <cell r="A70" t="str">
            <v>Hyd_Neeru Mehta (1008580)</v>
          </cell>
          <cell r="B70">
            <v>29</v>
          </cell>
          <cell r="C70">
            <v>0.05</v>
          </cell>
          <cell r="D70">
            <v>0</v>
          </cell>
          <cell r="E70">
            <v>0</v>
          </cell>
          <cell r="F70">
            <v>0.1</v>
          </cell>
          <cell r="G70">
            <v>0</v>
          </cell>
          <cell r="H70" t="str">
            <v>00:04:18</v>
          </cell>
          <cell r="I70" t="str">
            <v>00:00:01</v>
          </cell>
          <cell r="J70" t="str">
            <v>00:00:07</v>
          </cell>
        </row>
        <row r="71">
          <cell r="A71" t="str">
            <v>Hyd_Nikita Panwalkar (1008581)</v>
          </cell>
          <cell r="B71">
            <v>28</v>
          </cell>
          <cell r="C71">
            <v>0.05</v>
          </cell>
          <cell r="D71">
            <v>0</v>
          </cell>
          <cell r="E71">
            <v>0</v>
          </cell>
          <cell r="F71">
            <v>0.1</v>
          </cell>
          <cell r="G71">
            <v>0</v>
          </cell>
          <cell r="H71" t="str">
            <v>00:04:18</v>
          </cell>
          <cell r="I71" t="str">
            <v>00:00:01</v>
          </cell>
          <cell r="J71" t="str">
            <v>00:00:07</v>
          </cell>
        </row>
        <row r="72">
          <cell r="A72" t="str">
            <v>Hyd_Nitin Bhatia (1008582)</v>
          </cell>
          <cell r="B72">
            <v>29</v>
          </cell>
          <cell r="C72">
            <v>7.1428571428571397E-2</v>
          </cell>
          <cell r="D72">
            <v>0</v>
          </cell>
          <cell r="E72">
            <v>0</v>
          </cell>
          <cell r="F72">
            <v>8.9285714285714302E-2</v>
          </cell>
          <cell r="G72">
            <v>0</v>
          </cell>
          <cell r="H72" t="str">
            <v>00:04:10</v>
          </cell>
          <cell r="I72" t="str">
            <v>00:00:03</v>
          </cell>
          <cell r="J72" t="str">
            <v>00:00:07</v>
          </cell>
        </row>
        <row r="73">
          <cell r="A73" t="str">
            <v>Hyd_Om Prakash (1008583)</v>
          </cell>
          <cell r="B73">
            <v>30</v>
          </cell>
          <cell r="C73">
            <v>7.1428571428571397E-2</v>
          </cell>
          <cell r="D73">
            <v>0</v>
          </cell>
          <cell r="E73">
            <v>0</v>
          </cell>
          <cell r="F73">
            <v>8.9285714285714302E-2</v>
          </cell>
          <cell r="G73">
            <v>0</v>
          </cell>
          <cell r="H73" t="str">
            <v>00:04:10</v>
          </cell>
          <cell r="I73" t="str">
            <v>00:00:03</v>
          </cell>
          <cell r="J73" t="str">
            <v>00:00:07</v>
          </cell>
        </row>
        <row r="74">
          <cell r="A74" t="str">
            <v>Hyd_Omprakash O (1008584)</v>
          </cell>
          <cell r="B74">
            <v>31</v>
          </cell>
          <cell r="C74">
            <v>7.69230769230769E-2</v>
          </cell>
          <cell r="D74">
            <v>0</v>
          </cell>
          <cell r="E74">
            <v>0</v>
          </cell>
          <cell r="F74">
            <v>7.69230769230769E-2</v>
          </cell>
          <cell r="G74">
            <v>0</v>
          </cell>
          <cell r="H74" t="str">
            <v>00:03:33</v>
          </cell>
          <cell r="I74" t="str">
            <v>00:00:00</v>
          </cell>
          <cell r="J74" t="str">
            <v>00:00:09</v>
          </cell>
        </row>
        <row r="75">
          <cell r="A75" t="str">
            <v>Hyd_Owais Mohd (1008585)</v>
          </cell>
          <cell r="B75">
            <v>32</v>
          </cell>
          <cell r="C75">
            <v>7.69230769230769E-2</v>
          </cell>
          <cell r="D75">
            <v>0</v>
          </cell>
          <cell r="E75">
            <v>0</v>
          </cell>
          <cell r="F75">
            <v>7.69230769230769E-2</v>
          </cell>
          <cell r="G75">
            <v>0</v>
          </cell>
          <cell r="H75" t="str">
            <v>00:03:33</v>
          </cell>
          <cell r="I75" t="str">
            <v>00:00:00</v>
          </cell>
          <cell r="J75" t="str">
            <v>00:00:09</v>
          </cell>
        </row>
        <row r="76">
          <cell r="A76" t="str">
            <v>Hyd_Pankaj Shelkey (1008586)</v>
          </cell>
          <cell r="B76">
            <v>33</v>
          </cell>
          <cell r="C76">
            <v>5.4054054054054099E-2</v>
          </cell>
          <cell r="D76">
            <v>0</v>
          </cell>
          <cell r="E76">
            <v>0</v>
          </cell>
          <cell r="F76">
            <v>8.1081081081081099E-2</v>
          </cell>
          <cell r="G76">
            <v>0</v>
          </cell>
          <cell r="H76" t="str">
            <v>00:03:38</v>
          </cell>
          <cell r="I76" t="str">
            <v>00:00:18</v>
          </cell>
          <cell r="J76" t="str">
            <v>00:00:20</v>
          </cell>
        </row>
        <row r="77">
          <cell r="A77" t="str">
            <v>Hyd_Partha Sarathi (1008587)</v>
          </cell>
          <cell r="B77">
            <v>34</v>
          </cell>
          <cell r="C77">
            <v>5.4054054054054099E-2</v>
          </cell>
          <cell r="D77">
            <v>0</v>
          </cell>
          <cell r="E77">
            <v>0</v>
          </cell>
          <cell r="F77">
            <v>8.1081081081081099E-2</v>
          </cell>
          <cell r="G77">
            <v>0</v>
          </cell>
          <cell r="H77" t="str">
            <v>00:03:38</v>
          </cell>
          <cell r="I77" t="str">
            <v>00:00:18</v>
          </cell>
          <cell r="J77" t="str">
            <v>00:00:20</v>
          </cell>
        </row>
        <row r="78">
          <cell r="A78" t="str">
            <v>Hyd_Prabha Desikan (1008588)</v>
          </cell>
          <cell r="B78">
            <v>35</v>
          </cell>
          <cell r="C78">
            <v>5.63380281690141E-2</v>
          </cell>
          <cell r="D78">
            <v>0</v>
          </cell>
          <cell r="E78">
            <v>0</v>
          </cell>
          <cell r="F78">
            <v>9.85915492957746E-2</v>
          </cell>
          <cell r="G78">
            <v>0</v>
          </cell>
          <cell r="H78" t="str">
            <v>00:03:57</v>
          </cell>
          <cell r="I78" t="str">
            <v>00:00:00</v>
          </cell>
          <cell r="J78" t="str">
            <v>00:00:10</v>
          </cell>
        </row>
        <row r="79">
          <cell r="A79" t="str">
            <v>Hyd_Pramod Tiwari (1008589)</v>
          </cell>
          <cell r="B79">
            <v>36</v>
          </cell>
          <cell r="C79">
            <v>5.63380281690141E-2</v>
          </cell>
          <cell r="D79">
            <v>0</v>
          </cell>
          <cell r="E79">
            <v>0</v>
          </cell>
          <cell r="F79">
            <v>9.85915492957746E-2</v>
          </cell>
          <cell r="G79">
            <v>0</v>
          </cell>
          <cell r="H79" t="str">
            <v>00:03:57</v>
          </cell>
          <cell r="I79" t="str">
            <v>00:00:00</v>
          </cell>
          <cell r="J79" t="str">
            <v>00:00:10</v>
          </cell>
        </row>
        <row r="80">
          <cell r="A80" t="str">
            <v>Hyd_Prasannakumari S (1008590)</v>
          </cell>
          <cell r="B80">
            <v>37</v>
          </cell>
          <cell r="C80">
            <v>0.13636363636363599</v>
          </cell>
          <cell r="D80">
            <v>0</v>
          </cell>
          <cell r="E80">
            <v>0</v>
          </cell>
          <cell r="F80">
            <v>0.18181818181818199</v>
          </cell>
          <cell r="G80">
            <v>8.3333333333333301E-2</v>
          </cell>
          <cell r="H80" t="str">
            <v>00:03:53</v>
          </cell>
          <cell r="I80" t="str">
            <v>00:00:03</v>
          </cell>
          <cell r="J80" t="str">
            <v>00:01:01</v>
          </cell>
        </row>
        <row r="81">
          <cell r="A81" t="str">
            <v>Hyd_Praveen Kumar (1008591)</v>
          </cell>
          <cell r="B81">
            <v>38</v>
          </cell>
          <cell r="C81">
            <v>0.13636363636363599</v>
          </cell>
          <cell r="D81">
            <v>0</v>
          </cell>
          <cell r="E81">
            <v>0</v>
          </cell>
          <cell r="F81">
            <v>0.18181818181818199</v>
          </cell>
          <cell r="G81">
            <v>8.3333333333333301E-2</v>
          </cell>
          <cell r="H81" t="str">
            <v>00:03:53</v>
          </cell>
          <cell r="I81" t="str">
            <v>00:00:03</v>
          </cell>
          <cell r="J81" t="str">
            <v>00:01:01</v>
          </cell>
        </row>
        <row r="82">
          <cell r="A82" t="str">
            <v>Hyd_Rachel Mathew (1008592)</v>
          </cell>
          <cell r="B82">
            <v>39</v>
          </cell>
          <cell r="C82">
            <v>8.8235294117647106E-2</v>
          </cell>
          <cell r="D82">
            <v>0</v>
          </cell>
          <cell r="E82">
            <v>0</v>
          </cell>
          <cell r="F82">
            <v>8.8235294117647106E-2</v>
          </cell>
          <cell r="G82">
            <v>0</v>
          </cell>
          <cell r="H82" t="str">
            <v>00:04:14</v>
          </cell>
          <cell r="I82" t="str">
            <v>00:00:00</v>
          </cell>
          <cell r="J82" t="str">
            <v>00:00:07</v>
          </cell>
        </row>
        <row r="83">
          <cell r="A83" t="str">
            <v>Hyd_Rachita Anupam (1008593)</v>
          </cell>
          <cell r="B83">
            <v>40</v>
          </cell>
          <cell r="C83">
            <v>8.8235294117647106E-2</v>
          </cell>
          <cell r="D83">
            <v>0</v>
          </cell>
          <cell r="E83">
            <v>0</v>
          </cell>
          <cell r="F83">
            <v>8.8235294117647106E-2</v>
          </cell>
          <cell r="G83">
            <v>0</v>
          </cell>
          <cell r="H83" t="str">
            <v>00:04:14</v>
          </cell>
          <cell r="I83" t="str">
            <v>00:00:00</v>
          </cell>
          <cell r="J83" t="str">
            <v>00:00:07</v>
          </cell>
        </row>
        <row r="84">
          <cell r="A84" t="str">
            <v>Hyd_Rachna Chauhan (1008594)</v>
          </cell>
          <cell r="B84">
            <v>41</v>
          </cell>
          <cell r="C84">
            <v>3.7037037037037E-2</v>
          </cell>
          <cell r="D84">
            <v>0</v>
          </cell>
          <cell r="E84">
            <v>0</v>
          </cell>
          <cell r="F84">
            <v>0.12962962962963001</v>
          </cell>
          <cell r="G84">
            <v>0.28571428571428598</v>
          </cell>
          <cell r="H84" t="str">
            <v>00:04:09</v>
          </cell>
          <cell r="I84" t="str">
            <v>00:00:12</v>
          </cell>
          <cell r="J84" t="str">
            <v>00:00:05</v>
          </cell>
        </row>
        <row r="85">
          <cell r="A85" t="str">
            <v>Hyd_Raj Kumar (1008595)</v>
          </cell>
          <cell r="B85">
            <v>42</v>
          </cell>
          <cell r="C85">
            <v>3.7037037037037E-2</v>
          </cell>
          <cell r="D85">
            <v>0</v>
          </cell>
          <cell r="E85">
            <v>0</v>
          </cell>
          <cell r="F85">
            <v>0.12962962962963001</v>
          </cell>
          <cell r="G85">
            <v>0.28571428571428598</v>
          </cell>
          <cell r="H85" t="str">
            <v>00:04:09</v>
          </cell>
          <cell r="I85" t="str">
            <v>00:00:12</v>
          </cell>
          <cell r="J85" t="str">
            <v>00:00:05</v>
          </cell>
        </row>
        <row r="86">
          <cell r="A86" t="str">
            <v>Hyd_Rajeev Garg (1008596)</v>
          </cell>
          <cell r="B86">
            <v>43</v>
          </cell>
          <cell r="C86">
            <v>4.08163265306122E-2</v>
          </cell>
          <cell r="D86">
            <v>0</v>
          </cell>
          <cell r="E86">
            <v>0</v>
          </cell>
          <cell r="F86">
            <v>6.1224489795918401E-2</v>
          </cell>
          <cell r="G86">
            <v>0</v>
          </cell>
          <cell r="H86" t="str">
            <v>00:04:02</v>
          </cell>
          <cell r="I86" t="str">
            <v>00:00:01</v>
          </cell>
          <cell r="J86" t="str">
            <v>00:00:04</v>
          </cell>
        </row>
        <row r="87">
          <cell r="A87" t="str">
            <v>Hyd_Rajeev Kumar (1008597)</v>
          </cell>
          <cell r="B87">
            <v>44</v>
          </cell>
          <cell r="C87">
            <v>4.08163265306122E-2</v>
          </cell>
          <cell r="D87">
            <v>0</v>
          </cell>
          <cell r="E87">
            <v>0</v>
          </cell>
          <cell r="F87">
            <v>6.1224489795918401E-2</v>
          </cell>
          <cell r="G87">
            <v>0</v>
          </cell>
          <cell r="H87" t="str">
            <v>00:04:02</v>
          </cell>
          <cell r="I87" t="str">
            <v>00:00:01</v>
          </cell>
          <cell r="J87" t="str">
            <v>00:00:04</v>
          </cell>
        </row>
        <row r="88">
          <cell r="A88" t="str">
            <v>Hyd_Rajendra Gupta (1008598)</v>
          </cell>
          <cell r="B88">
            <v>45</v>
          </cell>
          <cell r="C88">
            <v>7.5471698113207503E-2</v>
          </cell>
          <cell r="D88">
            <v>0</v>
          </cell>
          <cell r="E88">
            <v>0</v>
          </cell>
          <cell r="F88">
            <v>0.113207547169811</v>
          </cell>
          <cell r="G88">
            <v>0</v>
          </cell>
          <cell r="H88" t="str">
            <v>00:05:37</v>
          </cell>
          <cell r="I88" t="str">
            <v>00:00:04</v>
          </cell>
          <cell r="J88" t="str">
            <v>00:00:23</v>
          </cell>
        </row>
        <row r="89">
          <cell r="A89" t="str">
            <v>Hyd_Rajendra Kumar (1008599)</v>
          </cell>
          <cell r="B89">
            <v>46</v>
          </cell>
          <cell r="C89">
            <v>7.5471698113207503E-2</v>
          </cell>
          <cell r="D89">
            <v>0</v>
          </cell>
          <cell r="E89">
            <v>0</v>
          </cell>
          <cell r="F89">
            <v>0.113207547169811</v>
          </cell>
          <cell r="G89">
            <v>0</v>
          </cell>
          <cell r="H89" t="str">
            <v>00:05:37</v>
          </cell>
          <cell r="I89" t="str">
            <v>00:00:04</v>
          </cell>
          <cell r="J89" t="str">
            <v>00:00:23</v>
          </cell>
        </row>
        <row r="90">
          <cell r="A90" t="str">
            <v>Hyd_Rajendra Prasad (1008600)</v>
          </cell>
          <cell r="B90">
            <v>47</v>
          </cell>
          <cell r="C90">
            <v>3.0769230769230799E-2</v>
          </cell>
          <cell r="D90">
            <v>1.5384615384615399E-2</v>
          </cell>
          <cell r="E90">
            <v>0</v>
          </cell>
          <cell r="F90">
            <v>7.69230769230769E-2</v>
          </cell>
          <cell r="G90">
            <v>0.4</v>
          </cell>
          <cell r="H90" t="str">
            <v>00:04:17</v>
          </cell>
          <cell r="I90" t="str">
            <v>00:00:12</v>
          </cell>
          <cell r="J90" t="str">
            <v>00:00:07</v>
          </cell>
        </row>
        <row r="91">
          <cell r="A91" t="str">
            <v>Hyd_Rajesh Kumar (1008601)</v>
          </cell>
          <cell r="B91">
            <v>48</v>
          </cell>
          <cell r="C91">
            <v>3.0769230769230799E-2</v>
          </cell>
          <cell r="D91">
            <v>1.5384615384615399E-2</v>
          </cell>
          <cell r="E91">
            <v>0</v>
          </cell>
          <cell r="F91">
            <v>7.69230769230769E-2</v>
          </cell>
          <cell r="G91">
            <v>0.4</v>
          </cell>
          <cell r="H91" t="str">
            <v>00:04:17</v>
          </cell>
          <cell r="I91" t="str">
            <v>00:00:12</v>
          </cell>
          <cell r="J91" t="str">
            <v>00:00:07</v>
          </cell>
        </row>
        <row r="92">
          <cell r="A92" t="str">
            <v>Hyd_Rajesh Kumar (1008602)</v>
          </cell>
          <cell r="B92">
            <v>49</v>
          </cell>
          <cell r="C92">
            <v>6.7796610169491497E-2</v>
          </cell>
          <cell r="D92">
            <v>0</v>
          </cell>
          <cell r="E92">
            <v>0</v>
          </cell>
          <cell r="F92">
            <v>0.101694915254237</v>
          </cell>
          <cell r="G92">
            <v>0</v>
          </cell>
          <cell r="H92" t="str">
            <v>00:04:10</v>
          </cell>
          <cell r="I92" t="str">
            <v>00:00:29</v>
          </cell>
          <cell r="J92" t="str">
            <v>00:00:04</v>
          </cell>
        </row>
        <row r="93">
          <cell r="A93" t="str">
            <v>Hyd_Rajesh Sharma (1008603)</v>
          </cell>
          <cell r="B93">
            <v>50</v>
          </cell>
          <cell r="C93">
            <v>6.7796610169491497E-2</v>
          </cell>
          <cell r="D93">
            <v>0</v>
          </cell>
          <cell r="E93">
            <v>0</v>
          </cell>
          <cell r="F93">
            <v>0.101694915254237</v>
          </cell>
          <cell r="G93">
            <v>0</v>
          </cell>
          <cell r="H93" t="str">
            <v>00:04:10</v>
          </cell>
          <cell r="I93" t="str">
            <v>00:00:29</v>
          </cell>
          <cell r="J93" t="str">
            <v>00:00:04</v>
          </cell>
        </row>
        <row r="94">
          <cell r="A94" t="str">
            <v>Hyd_Raji Abraham (1008604)</v>
          </cell>
          <cell r="B94">
            <v>51</v>
          </cell>
          <cell r="C94">
            <v>6.0606060606060601E-2</v>
          </cell>
          <cell r="D94">
            <v>0</v>
          </cell>
          <cell r="E94">
            <v>0</v>
          </cell>
          <cell r="F94">
            <v>0.10606060606060599</v>
          </cell>
          <cell r="G94">
            <v>0</v>
          </cell>
          <cell r="H94" t="str">
            <v>00:04:13</v>
          </cell>
          <cell r="I94" t="str">
            <v>00:00:21</v>
          </cell>
          <cell r="J94" t="str">
            <v>00:00:19</v>
          </cell>
        </row>
        <row r="95">
          <cell r="A95" t="str">
            <v>Hyd_Rajshree Dhabekar (1008605)</v>
          </cell>
          <cell r="B95">
            <v>52</v>
          </cell>
          <cell r="C95">
            <v>6.0606060606060601E-2</v>
          </cell>
          <cell r="D95">
            <v>0</v>
          </cell>
          <cell r="E95">
            <v>0</v>
          </cell>
          <cell r="F95">
            <v>0.10606060606060599</v>
          </cell>
          <cell r="G95">
            <v>0</v>
          </cell>
          <cell r="H95" t="str">
            <v>00:04:13</v>
          </cell>
          <cell r="I95" t="str">
            <v>00:00:21</v>
          </cell>
          <cell r="J95" t="str">
            <v>00:00:19</v>
          </cell>
        </row>
        <row r="96">
          <cell r="A96" t="str">
            <v>Hyd_Rakhi Jodhani (1008606)</v>
          </cell>
          <cell r="B96">
            <v>53</v>
          </cell>
          <cell r="C96">
            <v>5.9701492537313397E-2</v>
          </cell>
          <cell r="D96">
            <v>0</v>
          </cell>
          <cell r="E96">
            <v>0</v>
          </cell>
          <cell r="F96">
            <v>5.9701492537313397E-2</v>
          </cell>
          <cell r="G96">
            <v>0</v>
          </cell>
          <cell r="H96" t="str">
            <v>00:04:11</v>
          </cell>
          <cell r="I96" t="str">
            <v>00:00:02</v>
          </cell>
          <cell r="J96" t="str">
            <v>00:00:04</v>
          </cell>
        </row>
        <row r="97">
          <cell r="A97" t="str">
            <v>Hyd_Ramji Prasad (1008607)</v>
          </cell>
          <cell r="B97">
            <v>54</v>
          </cell>
          <cell r="C97">
            <v>5.9701492537313397E-2</v>
          </cell>
          <cell r="D97">
            <v>0</v>
          </cell>
          <cell r="E97">
            <v>0</v>
          </cell>
          <cell r="F97">
            <v>5.9701492537313397E-2</v>
          </cell>
          <cell r="G97">
            <v>0</v>
          </cell>
          <cell r="H97" t="str">
            <v>00:04:11</v>
          </cell>
          <cell r="I97" t="str">
            <v>00:00:02</v>
          </cell>
          <cell r="J97" t="str">
            <v>00:00:04</v>
          </cell>
        </row>
        <row r="98">
          <cell r="A98" t="str">
            <v>Del_Rashid (1008608)</v>
          </cell>
          <cell r="B98">
            <v>55</v>
          </cell>
          <cell r="C98">
            <v>0</v>
          </cell>
          <cell r="D98">
            <v>0</v>
          </cell>
          <cell r="E98">
            <v>0</v>
          </cell>
          <cell r="F98">
            <v>2.8571428571428598E-2</v>
          </cell>
          <cell r="G98">
            <v>1</v>
          </cell>
          <cell r="H98" t="str">
            <v>00:03:49</v>
          </cell>
          <cell r="I98" t="str">
            <v>00:00:00</v>
          </cell>
          <cell r="J98" t="str">
            <v>00:00:13</v>
          </cell>
        </row>
        <row r="99">
          <cell r="A99" t="str">
            <v>Del_Rashmi Gajbe (1008609)</v>
          </cell>
          <cell r="B99">
            <v>56</v>
          </cell>
          <cell r="C99">
            <v>0</v>
          </cell>
          <cell r="D99">
            <v>0</v>
          </cell>
          <cell r="E99">
            <v>0</v>
          </cell>
          <cell r="F99">
            <v>2.8571428571428598E-2</v>
          </cell>
          <cell r="G99">
            <v>1</v>
          </cell>
          <cell r="H99" t="str">
            <v>00:03:49</v>
          </cell>
          <cell r="I99" t="str">
            <v>00:00:00</v>
          </cell>
          <cell r="J99" t="str">
            <v>00:00:13</v>
          </cell>
        </row>
        <row r="100">
          <cell r="A100" t="str">
            <v>Del_Ravi Kumar (1008610)</v>
          </cell>
          <cell r="B100">
            <v>57</v>
          </cell>
          <cell r="C100">
            <v>4.7619047619047603E-2</v>
          </cell>
          <cell r="D100">
            <v>0</v>
          </cell>
          <cell r="E100">
            <v>0</v>
          </cell>
          <cell r="F100">
            <v>0.119047619047619</v>
          </cell>
          <cell r="G100">
            <v>0</v>
          </cell>
          <cell r="H100" t="str">
            <v>00:04:15</v>
          </cell>
          <cell r="I100" t="str">
            <v>00:00:40</v>
          </cell>
          <cell r="J100" t="str">
            <v>00:00:08</v>
          </cell>
        </row>
        <row r="101">
          <cell r="A101" t="str">
            <v>Del_Ravinder Kaur (1008611)</v>
          </cell>
          <cell r="B101">
            <v>58</v>
          </cell>
          <cell r="C101">
            <v>4.7619047619047603E-2</v>
          </cell>
          <cell r="D101">
            <v>0</v>
          </cell>
          <cell r="E101">
            <v>0</v>
          </cell>
          <cell r="F101">
            <v>0.119047619047619</v>
          </cell>
          <cell r="G101">
            <v>0</v>
          </cell>
          <cell r="H101" t="str">
            <v>00:04:15</v>
          </cell>
          <cell r="I101" t="str">
            <v>00:00:40</v>
          </cell>
          <cell r="J101" t="str">
            <v>00:00:08</v>
          </cell>
        </row>
        <row r="102">
          <cell r="A102" t="str">
            <v>Del_Rekha Agarwal (1008612)</v>
          </cell>
          <cell r="B102">
            <v>59</v>
          </cell>
          <cell r="C102">
            <v>2.9850746268656699E-2</v>
          </cell>
          <cell r="D102">
            <v>0</v>
          </cell>
          <cell r="E102">
            <v>0</v>
          </cell>
          <cell r="F102">
            <v>0.104477611940299</v>
          </cell>
          <cell r="G102">
            <v>0</v>
          </cell>
          <cell r="H102" t="str">
            <v>00:03:55</v>
          </cell>
          <cell r="I102" t="str">
            <v>00:00:02</v>
          </cell>
          <cell r="J102" t="str">
            <v>00:00:14</v>
          </cell>
        </row>
        <row r="103">
          <cell r="A103" t="str">
            <v>Del_Rekha Gupta (1008613)</v>
          </cell>
          <cell r="B103">
            <v>60</v>
          </cell>
          <cell r="C103">
            <v>2.9850746268656699E-2</v>
          </cell>
          <cell r="D103">
            <v>0</v>
          </cell>
          <cell r="E103">
            <v>0</v>
          </cell>
          <cell r="F103">
            <v>0.104477611940299</v>
          </cell>
          <cell r="G103">
            <v>0</v>
          </cell>
          <cell r="H103" t="str">
            <v>00:03:55</v>
          </cell>
          <cell r="I103" t="str">
            <v>00:00:02</v>
          </cell>
          <cell r="J103" t="str">
            <v>00:00:14</v>
          </cell>
        </row>
        <row r="104">
          <cell r="A104" t="str">
            <v>Del_Rekha Jain  (1008614)</v>
          </cell>
          <cell r="B104">
            <v>61</v>
          </cell>
          <cell r="C104">
            <v>2.7777777777777801E-2</v>
          </cell>
          <cell r="D104">
            <v>0</v>
          </cell>
          <cell r="E104">
            <v>0</v>
          </cell>
          <cell r="F104">
            <v>8.3333333333333301E-2</v>
          </cell>
          <cell r="G104">
            <v>0</v>
          </cell>
          <cell r="H104" t="str">
            <v>00:03:48</v>
          </cell>
          <cell r="I104" t="str">
            <v>00:00:02</v>
          </cell>
          <cell r="J104" t="str">
            <v>00:00:06</v>
          </cell>
        </row>
        <row r="105">
          <cell r="A105" t="str">
            <v>Del_Renu Pratap (1008615)</v>
          </cell>
          <cell r="B105">
            <v>62</v>
          </cell>
          <cell r="C105">
            <v>2.7777777777777801E-2</v>
          </cell>
          <cell r="D105">
            <v>0</v>
          </cell>
          <cell r="E105">
            <v>0</v>
          </cell>
          <cell r="F105">
            <v>8.3333333333333301E-2</v>
          </cell>
          <cell r="G105">
            <v>0</v>
          </cell>
          <cell r="H105" t="str">
            <v>00:03:48</v>
          </cell>
          <cell r="I105" t="str">
            <v>00:00:02</v>
          </cell>
          <cell r="J105" t="str">
            <v>00:00:06</v>
          </cell>
        </row>
        <row r="106">
          <cell r="A106" t="str">
            <v>Del_Ritu Bhatnagar (1008616)</v>
          </cell>
          <cell r="B106">
            <v>63</v>
          </cell>
          <cell r="C106">
            <v>0.108108108108108</v>
          </cell>
          <cell r="D106">
            <v>0</v>
          </cell>
          <cell r="E106">
            <v>0</v>
          </cell>
          <cell r="F106">
            <v>0.162162162162162</v>
          </cell>
          <cell r="G106">
            <v>8.3333333333333301E-2</v>
          </cell>
          <cell r="H106" t="str">
            <v>00:03:44</v>
          </cell>
          <cell r="I106" t="str">
            <v>00:00:11</v>
          </cell>
          <cell r="J106" t="str">
            <v>00:00:09</v>
          </cell>
        </row>
        <row r="107">
          <cell r="A107" t="str">
            <v>Del_Rohit Nishchal (1008617)</v>
          </cell>
          <cell r="B107">
            <v>64</v>
          </cell>
          <cell r="C107">
            <v>0.108108108108108</v>
          </cell>
          <cell r="D107">
            <v>0</v>
          </cell>
          <cell r="E107">
            <v>0</v>
          </cell>
          <cell r="F107">
            <v>0.162162162162162</v>
          </cell>
          <cell r="G107">
            <v>8.3333333333333301E-2</v>
          </cell>
          <cell r="H107" t="str">
            <v>00:03:44</v>
          </cell>
          <cell r="I107" t="str">
            <v>00:00:11</v>
          </cell>
          <cell r="J107" t="str">
            <v>00:00:09</v>
          </cell>
        </row>
        <row r="108">
          <cell r="A108" t="str">
            <v>Del_Roli Bhatnagar (1008618)</v>
          </cell>
          <cell r="B108">
            <v>65</v>
          </cell>
          <cell r="C108">
            <v>4.8387096774193498E-2</v>
          </cell>
          <cell r="D108">
            <v>0</v>
          </cell>
          <cell r="E108">
            <v>0</v>
          </cell>
          <cell r="F108">
            <v>9.6774193548387094E-2</v>
          </cell>
          <cell r="G108">
            <v>0</v>
          </cell>
          <cell r="H108" t="str">
            <v>00:04:25</v>
          </cell>
          <cell r="I108" t="str">
            <v>00:00:00</v>
          </cell>
          <cell r="J108" t="str">
            <v>00:00:29</v>
          </cell>
        </row>
        <row r="109">
          <cell r="A109" t="str">
            <v>Del_Roma Rastogi (1008619)</v>
          </cell>
          <cell r="B109">
            <v>66</v>
          </cell>
          <cell r="C109">
            <v>4.8387096774193498E-2</v>
          </cell>
          <cell r="D109">
            <v>0</v>
          </cell>
          <cell r="E109">
            <v>0</v>
          </cell>
          <cell r="F109">
            <v>9.6774193548387094E-2</v>
          </cell>
          <cell r="G109">
            <v>0</v>
          </cell>
          <cell r="H109" t="str">
            <v>00:04:25</v>
          </cell>
          <cell r="I109" t="str">
            <v>00:00:00</v>
          </cell>
          <cell r="J109" t="str">
            <v>00:00:29</v>
          </cell>
        </row>
        <row r="110">
          <cell r="A110" t="str">
            <v>Del_Roohi Haider (1008620)</v>
          </cell>
          <cell r="B110">
            <v>67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 t="str">
            <v>00:03:32</v>
          </cell>
          <cell r="J110" t="str">
            <v>00:00:19</v>
          </cell>
        </row>
        <row r="111">
          <cell r="A111" t="str">
            <v>Del_Sajid Naqvi (1008621)</v>
          </cell>
          <cell r="B111">
            <v>68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 t="str">
            <v>00:03:32</v>
          </cell>
          <cell r="J111" t="str">
            <v>00:00:19</v>
          </cell>
        </row>
        <row r="112">
          <cell r="A112" t="str">
            <v>Del_Salim (1008622)</v>
          </cell>
          <cell r="B112">
            <v>69</v>
          </cell>
          <cell r="C112">
            <v>5.2631578947368397E-2</v>
          </cell>
          <cell r="D112">
            <v>0</v>
          </cell>
          <cell r="E112">
            <v>0</v>
          </cell>
          <cell r="F112">
            <v>0.144736842105263</v>
          </cell>
          <cell r="G112">
            <v>0.63636363636363602</v>
          </cell>
          <cell r="H112" t="str">
            <v>00:03:27</v>
          </cell>
          <cell r="I112" t="str">
            <v>00:00:00</v>
          </cell>
          <cell r="J112" t="str">
            <v>00:00:05</v>
          </cell>
        </row>
        <row r="113">
          <cell r="A113" t="str">
            <v>Del_Sanjay Hire (1008623)</v>
          </cell>
          <cell r="B113">
            <v>70</v>
          </cell>
          <cell r="C113">
            <v>5.2631578947368397E-2</v>
          </cell>
          <cell r="D113">
            <v>0</v>
          </cell>
          <cell r="E113">
            <v>0</v>
          </cell>
          <cell r="F113">
            <v>0.144736842105263</v>
          </cell>
          <cell r="G113">
            <v>0.63636363636363602</v>
          </cell>
          <cell r="H113" t="str">
            <v>00:03:27</v>
          </cell>
          <cell r="I113" t="str">
            <v>00:00:00</v>
          </cell>
          <cell r="J113" t="str">
            <v>00:00:05</v>
          </cell>
        </row>
        <row r="114">
          <cell r="A114" t="str">
            <v>Del_Sanjiv Subherwal (1008624)</v>
          </cell>
          <cell r="B114">
            <v>71</v>
          </cell>
          <cell r="C114">
            <v>2.7777777777777801E-2</v>
          </cell>
          <cell r="D114">
            <v>0</v>
          </cell>
          <cell r="E114">
            <v>1.3698630136986301E-2</v>
          </cell>
          <cell r="F114">
            <v>4.1666666666666699E-2</v>
          </cell>
          <cell r="G114">
            <v>0</v>
          </cell>
          <cell r="H114" t="str">
            <v>00:03:31</v>
          </cell>
          <cell r="I114" t="str">
            <v>00:00:08</v>
          </cell>
          <cell r="J114" t="str">
            <v>00:00:11</v>
          </cell>
        </row>
        <row r="115">
          <cell r="A115" t="str">
            <v>Del_Sanju Ramdas (1008625)</v>
          </cell>
          <cell r="B115">
            <v>72</v>
          </cell>
          <cell r="C115">
            <v>2.7777777777777801E-2</v>
          </cell>
          <cell r="D115">
            <v>0</v>
          </cell>
          <cell r="E115">
            <v>1.3698630136986301E-2</v>
          </cell>
          <cell r="F115">
            <v>4.1666666666666699E-2</v>
          </cell>
          <cell r="G115">
            <v>0</v>
          </cell>
          <cell r="H115" t="str">
            <v>00:03:31</v>
          </cell>
          <cell r="I115" t="str">
            <v>00:00:08</v>
          </cell>
          <cell r="J115" t="str">
            <v>00:00:11</v>
          </cell>
        </row>
        <row r="116">
          <cell r="A116" t="str">
            <v>Del_Santosh Kumar (1008626)</v>
          </cell>
          <cell r="B116">
            <v>73</v>
          </cell>
          <cell r="C116">
            <v>3.0769230769230799E-2</v>
          </cell>
          <cell r="D116">
            <v>0</v>
          </cell>
          <cell r="E116">
            <v>2.9850746268656699E-2</v>
          </cell>
          <cell r="F116">
            <v>7.69230769230769E-2</v>
          </cell>
          <cell r="G116">
            <v>0.2</v>
          </cell>
          <cell r="H116" t="str">
            <v>00:04:03</v>
          </cell>
          <cell r="I116" t="str">
            <v>00:00:01</v>
          </cell>
          <cell r="J116" t="str">
            <v>00:00:10</v>
          </cell>
        </row>
        <row r="117">
          <cell r="A117" t="str">
            <v>Del_Santosh Kumar (1008627)</v>
          </cell>
          <cell r="B117">
            <v>74</v>
          </cell>
          <cell r="C117">
            <v>3.0769230769230799E-2</v>
          </cell>
          <cell r="D117">
            <v>0</v>
          </cell>
          <cell r="E117">
            <v>2.9850746268656699E-2</v>
          </cell>
          <cell r="F117">
            <v>7.69230769230769E-2</v>
          </cell>
          <cell r="G117">
            <v>0.2</v>
          </cell>
          <cell r="H117" t="str">
            <v>00:04:03</v>
          </cell>
          <cell r="I117" t="str">
            <v>00:00:01</v>
          </cell>
          <cell r="J117" t="str">
            <v>00:00:10</v>
          </cell>
        </row>
        <row r="118">
          <cell r="A118" t="str">
            <v>Del_Santosh Kumar (1008628)</v>
          </cell>
          <cell r="B118">
            <v>75</v>
          </cell>
          <cell r="C118">
            <v>0.13636363636363599</v>
          </cell>
          <cell r="D118">
            <v>0</v>
          </cell>
          <cell r="E118">
            <v>0</v>
          </cell>
          <cell r="F118">
            <v>0.204545454545455</v>
          </cell>
          <cell r="G118">
            <v>0</v>
          </cell>
          <cell r="H118" t="str">
            <v>00:03:58</v>
          </cell>
          <cell r="I118" t="str">
            <v>00:01:03</v>
          </cell>
          <cell r="J118" t="str">
            <v>00:00:07</v>
          </cell>
        </row>
        <row r="119">
          <cell r="A119" t="str">
            <v>Del_Sapna Sharma (1008629)</v>
          </cell>
          <cell r="B119">
            <v>76</v>
          </cell>
          <cell r="C119">
            <v>0.13636363636363599</v>
          </cell>
          <cell r="D119">
            <v>0</v>
          </cell>
          <cell r="E119">
            <v>0</v>
          </cell>
          <cell r="F119">
            <v>0.204545454545455</v>
          </cell>
          <cell r="G119">
            <v>0</v>
          </cell>
          <cell r="H119" t="str">
            <v>00:03:58</v>
          </cell>
          <cell r="I119" t="str">
            <v>00:01:03</v>
          </cell>
          <cell r="J119" t="str">
            <v>00:00:07</v>
          </cell>
        </row>
        <row r="120">
          <cell r="A120" t="str">
            <v>Del_Saroj Parita (1008630)</v>
          </cell>
          <cell r="B120">
            <v>77</v>
          </cell>
          <cell r="C120">
            <v>1.63934426229508E-2</v>
          </cell>
          <cell r="D120">
            <v>0</v>
          </cell>
          <cell r="E120">
            <v>0</v>
          </cell>
          <cell r="F120">
            <v>8.1967213114754106E-2</v>
          </cell>
          <cell r="G120">
            <v>0</v>
          </cell>
          <cell r="H120" t="str">
            <v>00:03:55</v>
          </cell>
          <cell r="I120" t="str">
            <v>00:00:03</v>
          </cell>
          <cell r="J120" t="str">
            <v>00:00:06</v>
          </cell>
        </row>
        <row r="121">
          <cell r="A121" t="str">
            <v>Del_Shailaja Kamal (1008631)</v>
          </cell>
          <cell r="B121">
            <v>78</v>
          </cell>
          <cell r="C121">
            <v>1.63934426229508E-2</v>
          </cell>
          <cell r="D121">
            <v>0</v>
          </cell>
          <cell r="E121">
            <v>0</v>
          </cell>
          <cell r="F121">
            <v>8.1967213114754106E-2</v>
          </cell>
          <cell r="G121">
            <v>0</v>
          </cell>
          <cell r="H121" t="str">
            <v>00:03:55</v>
          </cell>
          <cell r="I121" t="str">
            <v>00:00:03</v>
          </cell>
          <cell r="J121" t="str">
            <v>00:00:06</v>
          </cell>
        </row>
        <row r="122">
          <cell r="A122" t="str">
            <v>Del_Shailendra Barge (1008632)</v>
          </cell>
          <cell r="B122">
            <v>79</v>
          </cell>
          <cell r="C122">
            <v>0.13043478260869601</v>
          </cell>
          <cell r="D122">
            <v>0</v>
          </cell>
          <cell r="E122">
            <v>0</v>
          </cell>
          <cell r="F122">
            <v>0.19565217391304299</v>
          </cell>
          <cell r="G122">
            <v>0</v>
          </cell>
          <cell r="H122" t="str">
            <v>00:04:20</v>
          </cell>
          <cell r="I122" t="str">
            <v>00:00:00</v>
          </cell>
          <cell r="J122" t="str">
            <v>00:00:11</v>
          </cell>
        </row>
        <row r="123">
          <cell r="A123" t="str">
            <v>Del_Shankar Attendant (1008633)</v>
          </cell>
          <cell r="B123">
            <v>80</v>
          </cell>
          <cell r="C123">
            <v>0.13043478260869601</v>
          </cell>
          <cell r="D123">
            <v>0</v>
          </cell>
          <cell r="E123">
            <v>0</v>
          </cell>
          <cell r="F123">
            <v>0.19565217391304299</v>
          </cell>
          <cell r="G123">
            <v>0</v>
          </cell>
          <cell r="H123" t="str">
            <v>00:04:20</v>
          </cell>
          <cell r="I123" t="str">
            <v>00:00:00</v>
          </cell>
          <cell r="J123" t="str">
            <v>00:00:11</v>
          </cell>
        </row>
        <row r="124">
          <cell r="A124" t="str">
            <v>Del_Shashikant Tiwari (1008634)</v>
          </cell>
          <cell r="B124">
            <v>81</v>
          </cell>
          <cell r="C124">
            <v>6.5573770491803296E-2</v>
          </cell>
          <cell r="D124">
            <v>0</v>
          </cell>
          <cell r="E124">
            <v>0</v>
          </cell>
          <cell r="F124">
            <v>9.8360655737704902E-2</v>
          </cell>
          <cell r="G124">
            <v>0</v>
          </cell>
          <cell r="H124" t="str">
            <v>00:04:00</v>
          </cell>
          <cell r="I124" t="str">
            <v>00:00:09</v>
          </cell>
          <cell r="J124" t="str">
            <v>00:00:08</v>
          </cell>
        </row>
        <row r="125">
          <cell r="A125" t="str">
            <v>Del_Sheeba Joseph (1008635)</v>
          </cell>
          <cell r="B125">
            <v>82</v>
          </cell>
          <cell r="C125">
            <v>6.5573770491803296E-2</v>
          </cell>
          <cell r="D125">
            <v>0</v>
          </cell>
          <cell r="E125">
            <v>0</v>
          </cell>
          <cell r="F125">
            <v>9.8360655737704902E-2</v>
          </cell>
          <cell r="G125">
            <v>0</v>
          </cell>
          <cell r="H125" t="str">
            <v>00:04:00</v>
          </cell>
          <cell r="I125" t="str">
            <v>00:00:09</v>
          </cell>
          <cell r="J125" t="str">
            <v>00:00:08</v>
          </cell>
        </row>
        <row r="126">
          <cell r="A126" t="str">
            <v>Del_Sheena Joseph (1008636)</v>
          </cell>
          <cell r="B126">
            <v>83</v>
          </cell>
          <cell r="C126">
            <v>0.11111111111111099</v>
          </cell>
          <cell r="D126">
            <v>0</v>
          </cell>
          <cell r="E126">
            <v>0</v>
          </cell>
          <cell r="F126">
            <v>0.126984126984127</v>
          </cell>
          <cell r="G126">
            <v>0</v>
          </cell>
          <cell r="H126" t="str">
            <v>00:03:27</v>
          </cell>
          <cell r="I126" t="str">
            <v>00:00:11</v>
          </cell>
          <cell r="J126" t="str">
            <v>00:00:15</v>
          </cell>
        </row>
        <row r="127">
          <cell r="A127" t="str">
            <v>Del_Shephali Jain (1008637)</v>
          </cell>
          <cell r="B127">
            <v>84</v>
          </cell>
          <cell r="C127">
            <v>0.11111111111111099</v>
          </cell>
          <cell r="D127">
            <v>0</v>
          </cell>
          <cell r="E127">
            <v>0</v>
          </cell>
          <cell r="F127">
            <v>0.126984126984127</v>
          </cell>
          <cell r="G127">
            <v>0</v>
          </cell>
          <cell r="H127" t="str">
            <v>00:03:27</v>
          </cell>
          <cell r="I127" t="str">
            <v>00:00:11</v>
          </cell>
          <cell r="J127" t="str">
            <v>00:00:15</v>
          </cell>
        </row>
        <row r="128">
          <cell r="A128" t="str">
            <v>Del_Shivji Prasad (1008638)</v>
          </cell>
          <cell r="B128">
            <v>85</v>
          </cell>
          <cell r="C128">
            <v>5.4545454545454501E-2</v>
          </cell>
          <cell r="D128">
            <v>0</v>
          </cell>
          <cell r="E128">
            <v>0</v>
          </cell>
          <cell r="F128">
            <v>0.145454545454545</v>
          </cell>
          <cell r="G128">
            <v>0.125</v>
          </cell>
          <cell r="H128" t="str">
            <v>00:03:46</v>
          </cell>
          <cell r="I128" t="str">
            <v>00:00:51</v>
          </cell>
          <cell r="J128" t="str">
            <v>00:00:06</v>
          </cell>
        </row>
        <row r="129">
          <cell r="A129" t="str">
            <v>Del_Shubhanjali Joshi (1008639)</v>
          </cell>
          <cell r="B129">
            <v>86</v>
          </cell>
          <cell r="C129">
            <v>5.4545454545454501E-2</v>
          </cell>
          <cell r="D129">
            <v>0</v>
          </cell>
          <cell r="E129">
            <v>0</v>
          </cell>
          <cell r="F129">
            <v>0.145454545454545</v>
          </cell>
          <cell r="G129">
            <v>0.125</v>
          </cell>
          <cell r="H129" t="str">
            <v>00:03:46</v>
          </cell>
          <cell r="I129" t="str">
            <v>00:00:51</v>
          </cell>
          <cell r="J129" t="str">
            <v>00:00:06</v>
          </cell>
        </row>
        <row r="130">
          <cell r="A130" t="str">
            <v>Del_Shyamal Malakar (1008640)</v>
          </cell>
          <cell r="B130">
            <v>87</v>
          </cell>
          <cell r="C130">
            <v>0.102040816326531</v>
          </cell>
          <cell r="D130">
            <v>0</v>
          </cell>
          <cell r="E130">
            <v>0.02</v>
          </cell>
          <cell r="F130">
            <v>0.102040816326531</v>
          </cell>
          <cell r="G130">
            <v>0</v>
          </cell>
          <cell r="H130" t="str">
            <v>00:03:53</v>
          </cell>
          <cell r="I130" t="str">
            <v>00:00:00</v>
          </cell>
          <cell r="J130" t="str">
            <v>00:00:04</v>
          </cell>
        </row>
        <row r="131">
          <cell r="A131" t="str">
            <v>Del_Sneh Khan (1008641)</v>
          </cell>
          <cell r="B131">
            <v>88</v>
          </cell>
          <cell r="C131">
            <v>0.102040816326531</v>
          </cell>
          <cell r="D131">
            <v>0</v>
          </cell>
          <cell r="E131">
            <v>0.02</v>
          </cell>
          <cell r="F131">
            <v>0.102040816326531</v>
          </cell>
          <cell r="G131">
            <v>0</v>
          </cell>
          <cell r="H131" t="str">
            <v>00:03:53</v>
          </cell>
          <cell r="I131" t="str">
            <v>00:00:00</v>
          </cell>
          <cell r="J131" t="str">
            <v>00:00:04</v>
          </cell>
        </row>
        <row r="132">
          <cell r="A132" t="str">
            <v>Del_Sonaram Munda (1008642)</v>
          </cell>
          <cell r="B132">
            <v>89</v>
          </cell>
          <cell r="C132">
            <v>0.1</v>
          </cell>
          <cell r="D132">
            <v>0</v>
          </cell>
          <cell r="E132">
            <v>0</v>
          </cell>
          <cell r="F132">
            <v>0.1</v>
          </cell>
          <cell r="G132">
            <v>0</v>
          </cell>
          <cell r="H132" t="str">
            <v>00:04:31</v>
          </cell>
          <cell r="I132" t="str">
            <v>00:00:00</v>
          </cell>
          <cell r="J132" t="str">
            <v>00:00:12</v>
          </cell>
        </row>
        <row r="133">
          <cell r="A133" t="str">
            <v>Del_Sudama Kumar (1008643)</v>
          </cell>
          <cell r="B133">
            <v>90</v>
          </cell>
          <cell r="C133">
            <v>0.1</v>
          </cell>
          <cell r="D133">
            <v>0</v>
          </cell>
          <cell r="E133">
            <v>0</v>
          </cell>
          <cell r="F133">
            <v>0.1</v>
          </cell>
          <cell r="G133">
            <v>0</v>
          </cell>
          <cell r="H133" t="str">
            <v>00:04:31</v>
          </cell>
          <cell r="I133" t="str">
            <v>00:00:00</v>
          </cell>
          <cell r="J133" t="str">
            <v>00:00:12</v>
          </cell>
        </row>
        <row r="134">
          <cell r="A134" t="str">
            <v>Del_Sudhir Kumar (1008644)</v>
          </cell>
          <cell r="B134">
            <v>91</v>
          </cell>
          <cell r="C134">
            <v>3.3898305084745797E-2</v>
          </cell>
          <cell r="D134">
            <v>0</v>
          </cell>
          <cell r="E134">
            <v>0</v>
          </cell>
          <cell r="F134">
            <v>0.152542372881356</v>
          </cell>
          <cell r="G134">
            <v>0.11111111111111099</v>
          </cell>
          <cell r="H134" t="str">
            <v>00:04:35</v>
          </cell>
          <cell r="I134" t="str">
            <v>00:00:32</v>
          </cell>
          <cell r="J134" t="str">
            <v>00:00:04</v>
          </cell>
        </row>
        <row r="135">
          <cell r="A135" t="str">
            <v>Del_Sunil Kumar (1008645)</v>
          </cell>
          <cell r="B135">
            <v>92</v>
          </cell>
          <cell r="C135">
            <v>3.3898305084745797E-2</v>
          </cell>
          <cell r="D135">
            <v>0</v>
          </cell>
          <cell r="E135">
            <v>0</v>
          </cell>
          <cell r="F135">
            <v>0.152542372881356</v>
          </cell>
          <cell r="G135">
            <v>0.11111111111111099</v>
          </cell>
          <cell r="H135" t="str">
            <v>00:04:35</v>
          </cell>
          <cell r="I135" t="str">
            <v>00:00:32</v>
          </cell>
          <cell r="J135" t="str">
            <v>00:00:04</v>
          </cell>
        </row>
        <row r="136">
          <cell r="A136" t="str">
            <v>Del_Sunil Kumar (1008646)</v>
          </cell>
          <cell r="B136">
            <v>93</v>
          </cell>
          <cell r="C136">
            <v>6.3829787234042604E-2</v>
          </cell>
          <cell r="D136">
            <v>0</v>
          </cell>
          <cell r="E136">
            <v>0</v>
          </cell>
          <cell r="F136">
            <v>0.19148936170212799</v>
          </cell>
          <cell r="G136">
            <v>0</v>
          </cell>
          <cell r="H136" t="str">
            <v>00:05:00</v>
          </cell>
          <cell r="I136" t="str">
            <v>00:02:17</v>
          </cell>
          <cell r="J136" t="str">
            <v>00:00:26</v>
          </cell>
        </row>
        <row r="137">
          <cell r="A137" t="str">
            <v>Del_Sunita Chawla (1008647)</v>
          </cell>
          <cell r="B137">
            <v>94</v>
          </cell>
          <cell r="C137">
            <v>6.3829787234042604E-2</v>
          </cell>
          <cell r="D137">
            <v>0</v>
          </cell>
          <cell r="E137">
            <v>0</v>
          </cell>
          <cell r="F137">
            <v>0.19148936170212799</v>
          </cell>
          <cell r="G137">
            <v>0</v>
          </cell>
          <cell r="H137" t="str">
            <v>00:05:00</v>
          </cell>
          <cell r="I137" t="str">
            <v>00:02:17</v>
          </cell>
          <cell r="J137" t="str">
            <v>00:00:26</v>
          </cell>
        </row>
        <row r="138">
          <cell r="A138" t="str">
            <v>Del_Sunita Madnani (1008648)</v>
          </cell>
          <cell r="B138">
            <v>95</v>
          </cell>
          <cell r="C138">
            <v>0.118421052631579</v>
          </cell>
          <cell r="D138">
            <v>0</v>
          </cell>
          <cell r="E138">
            <v>0</v>
          </cell>
          <cell r="F138">
            <v>0.23684210526315799</v>
          </cell>
          <cell r="G138">
            <v>5.5555555555555601E-2</v>
          </cell>
          <cell r="H138" t="str">
            <v>00:03:32</v>
          </cell>
          <cell r="I138" t="str">
            <v>00:00:23</v>
          </cell>
          <cell r="J138" t="str">
            <v>00:00:06</v>
          </cell>
        </row>
        <row r="139">
          <cell r="A139" t="str">
            <v>Del_Surendra Kumar (1008649)</v>
          </cell>
          <cell r="B139">
            <v>96</v>
          </cell>
          <cell r="C139">
            <v>0.118421052631579</v>
          </cell>
          <cell r="D139">
            <v>0</v>
          </cell>
          <cell r="E139">
            <v>0</v>
          </cell>
          <cell r="F139">
            <v>0.23684210526315799</v>
          </cell>
          <cell r="G139">
            <v>5.5555555555555601E-2</v>
          </cell>
          <cell r="H139" t="str">
            <v>00:03:32</v>
          </cell>
          <cell r="I139" t="str">
            <v>00:00:23</v>
          </cell>
          <cell r="J139" t="str">
            <v>00:00:06</v>
          </cell>
        </row>
        <row r="140">
          <cell r="A140" t="str">
            <v>Del_Surendranath Thakur (1008650)</v>
          </cell>
          <cell r="B140">
            <v>97</v>
          </cell>
          <cell r="C140">
            <v>7.1428571428571397E-2</v>
          </cell>
          <cell r="D140">
            <v>0</v>
          </cell>
          <cell r="E140">
            <v>0</v>
          </cell>
          <cell r="F140">
            <v>0.128571428571428</v>
          </cell>
          <cell r="G140">
            <v>0.22222222222222199</v>
          </cell>
          <cell r="H140" t="str">
            <v>00:04:04</v>
          </cell>
          <cell r="I140" t="str">
            <v>00:00:35</v>
          </cell>
          <cell r="J140" t="str">
            <v>00:00:06</v>
          </cell>
        </row>
        <row r="141">
          <cell r="A141" t="str">
            <v>Del_Sushma Khandelwal (1008651)</v>
          </cell>
          <cell r="B141">
            <v>98</v>
          </cell>
          <cell r="C141">
            <v>7.1428571428571397E-2</v>
          </cell>
          <cell r="D141">
            <v>0</v>
          </cell>
          <cell r="E141">
            <v>0</v>
          </cell>
          <cell r="F141">
            <v>0.128571428571428</v>
          </cell>
          <cell r="G141">
            <v>0.22222222222222199</v>
          </cell>
          <cell r="H141" t="str">
            <v>00:04:04</v>
          </cell>
          <cell r="I141" t="str">
            <v>00:00:35</v>
          </cell>
          <cell r="J141" t="str">
            <v>00:00:06</v>
          </cell>
        </row>
        <row r="142">
          <cell r="A142" t="str">
            <v>Del_Swarnlata Borse (1008652)</v>
          </cell>
          <cell r="B142">
            <v>99</v>
          </cell>
          <cell r="C142">
            <v>0</v>
          </cell>
          <cell r="D142">
            <v>0</v>
          </cell>
          <cell r="E142">
            <v>0</v>
          </cell>
          <cell r="F142">
            <v>0.04</v>
          </cell>
          <cell r="G142">
            <v>0</v>
          </cell>
          <cell r="H142" t="str">
            <v>00:03:28</v>
          </cell>
          <cell r="I142" t="str">
            <v>00:01:08</v>
          </cell>
          <cell r="J142" t="str">
            <v>00:00:06</v>
          </cell>
        </row>
        <row r="143">
          <cell r="A143" t="str">
            <v>Del_Syed Naved (1008653)</v>
          </cell>
          <cell r="B143">
            <v>100</v>
          </cell>
          <cell r="C143">
            <v>0</v>
          </cell>
          <cell r="D143">
            <v>0</v>
          </cell>
          <cell r="E143">
            <v>0</v>
          </cell>
          <cell r="F143">
            <v>0.04</v>
          </cell>
          <cell r="G143">
            <v>0</v>
          </cell>
          <cell r="H143" t="str">
            <v>00:03:28</v>
          </cell>
          <cell r="I143" t="str">
            <v>00:01:08</v>
          </cell>
          <cell r="J143" t="str">
            <v>00:00:06</v>
          </cell>
        </row>
        <row r="144">
          <cell r="A144" t="str">
            <v>Del_Syed Saqib (1008654)</v>
          </cell>
          <cell r="B144">
            <v>101</v>
          </cell>
          <cell r="C144">
            <v>3.1746031746031703E-2</v>
          </cell>
          <cell r="D144">
            <v>0</v>
          </cell>
          <cell r="E144">
            <v>0</v>
          </cell>
          <cell r="F144">
            <v>0.126984126984127</v>
          </cell>
          <cell r="G144">
            <v>0</v>
          </cell>
          <cell r="H144" t="str">
            <v>00:03:42</v>
          </cell>
          <cell r="I144" t="str">
            <v>00:00:49</v>
          </cell>
          <cell r="J144" t="str">
            <v>00:00:25</v>
          </cell>
        </row>
        <row r="145">
          <cell r="A145" t="str">
            <v>Del_Syed Sohail (1008655)</v>
          </cell>
          <cell r="B145">
            <v>102</v>
          </cell>
          <cell r="C145">
            <v>3.1746031746031703E-2</v>
          </cell>
          <cell r="D145">
            <v>0</v>
          </cell>
          <cell r="E145">
            <v>0</v>
          </cell>
          <cell r="F145">
            <v>0.126984126984127</v>
          </cell>
          <cell r="G145">
            <v>0</v>
          </cell>
          <cell r="H145" t="str">
            <v>00:03:42</v>
          </cell>
          <cell r="I145" t="str">
            <v>00:00:49</v>
          </cell>
          <cell r="J145" t="str">
            <v>00:00:25</v>
          </cell>
        </row>
        <row r="146">
          <cell r="A146" t="str">
            <v>Del_System Operator (1008656)</v>
          </cell>
          <cell r="B146">
            <v>103</v>
          </cell>
          <cell r="C146">
            <v>0</v>
          </cell>
          <cell r="D146">
            <v>0</v>
          </cell>
          <cell r="E146">
            <v>0</v>
          </cell>
          <cell r="F146">
            <v>4.8387096774193498E-2</v>
          </cell>
          <cell r="G146">
            <v>0</v>
          </cell>
          <cell r="H146" t="str">
            <v>00:03:48</v>
          </cell>
          <cell r="I146" t="str">
            <v>00:00:00</v>
          </cell>
          <cell r="J146" t="str">
            <v>00:00:06</v>
          </cell>
        </row>
        <row r="147">
          <cell r="A147" t="str">
            <v>Del_Tahira Qureshi (1008657)</v>
          </cell>
          <cell r="B147">
            <v>104</v>
          </cell>
          <cell r="C147">
            <v>0</v>
          </cell>
          <cell r="D147">
            <v>0</v>
          </cell>
          <cell r="E147">
            <v>0</v>
          </cell>
          <cell r="F147">
            <v>4.8387096774193498E-2</v>
          </cell>
          <cell r="G147">
            <v>0</v>
          </cell>
          <cell r="H147" t="str">
            <v>00:03:48</v>
          </cell>
          <cell r="I147" t="str">
            <v>00:00:00</v>
          </cell>
          <cell r="J147" t="str">
            <v>00:00:06</v>
          </cell>
        </row>
        <row r="148">
          <cell r="A148" t="str">
            <v>Del_Tapas Chakraborty (1008658)</v>
          </cell>
          <cell r="B148">
            <v>105</v>
          </cell>
          <cell r="C148">
            <v>3.2786885245901599E-2</v>
          </cell>
          <cell r="D148">
            <v>0</v>
          </cell>
          <cell r="E148">
            <v>0</v>
          </cell>
          <cell r="F148">
            <v>6.5573770491803296E-2</v>
          </cell>
          <cell r="G148">
            <v>0.25</v>
          </cell>
          <cell r="H148" t="str">
            <v>00:03:49</v>
          </cell>
          <cell r="I148" t="str">
            <v>00:00:00</v>
          </cell>
          <cell r="J148" t="str">
            <v>00:00:09</v>
          </cell>
        </row>
        <row r="149">
          <cell r="A149" t="str">
            <v>Del_Tariq Akhlaq (1008659)</v>
          </cell>
          <cell r="B149">
            <v>106</v>
          </cell>
          <cell r="C149">
            <v>3.2786885245901599E-2</v>
          </cell>
          <cell r="D149">
            <v>0</v>
          </cell>
          <cell r="E149">
            <v>0</v>
          </cell>
          <cell r="F149">
            <v>6.5573770491803296E-2</v>
          </cell>
          <cell r="G149">
            <v>0.25</v>
          </cell>
          <cell r="H149" t="str">
            <v>00:03:49</v>
          </cell>
          <cell r="I149" t="str">
            <v>00:00:00</v>
          </cell>
          <cell r="J149" t="str">
            <v>00:00:09</v>
          </cell>
        </row>
        <row r="150">
          <cell r="A150" t="str">
            <v>Del_Tasneem Khan (1008660)</v>
          </cell>
          <cell r="B150">
            <v>107</v>
          </cell>
          <cell r="C150">
            <v>3.2786885245901599E-2</v>
          </cell>
          <cell r="D150">
            <v>0</v>
          </cell>
          <cell r="E150">
            <v>0</v>
          </cell>
          <cell r="F150">
            <v>9.8360655737704902E-2</v>
          </cell>
          <cell r="G150">
            <v>0</v>
          </cell>
          <cell r="H150" t="str">
            <v>00:04:04</v>
          </cell>
          <cell r="I150" t="str">
            <v>00:00:10</v>
          </cell>
          <cell r="J150" t="str">
            <v>00:00:07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bhash mishra" refreshedDate="45728.750539814813" createdVersion="8" refreshedVersion="8" minRefreshableVersion="3" recordCount="143" xr:uid="{62D53B60-1864-443E-85EC-1AF15378E213}">
  <cacheSource type="worksheet">
    <worksheetSource ref="A1:G144" sheet="Data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4">
      <sharedItems containsSemiMixedTypes="0" containsNonDate="0" containsDate="1" containsString="0" minDate="1899-12-30T04:56:13" maxDate="1899-12-30T09:16:31"/>
    </cacheField>
    <cacheField name="Work Efficiency " numFmtId="164">
      <sharedItems containsDate="1" containsMixedTypes="1" minDate="1899-12-30T00:48:33" maxDate="1899-12-30T05:52:08" count="142">
        <d v="1899-12-30T04:57:59"/>
        <d v="1899-12-30T04:58:34"/>
        <d v="1899-12-30T04:49:35"/>
        <d v="1899-12-30T04:17:32"/>
        <d v="1899-12-30T03:19:44"/>
        <d v="1899-12-30T03:41:19"/>
        <d v="1899-12-30T04:12:46"/>
        <d v="1899-12-30T05:52:08"/>
        <d v="1899-12-30T04:52:29"/>
        <d v="1899-12-30T04:58:07"/>
        <d v="1899-12-30T04:55:28"/>
        <d v="1899-12-30T03:47:42"/>
        <d v="1899-12-30T04:43:40"/>
        <d v="1899-12-30T04:40:27"/>
        <d v="1899-12-30T04:57:35"/>
        <d v="1899-12-30T04:10:25"/>
        <d v="1899-12-30T04:58:14"/>
        <d v="1899-12-30T04:53:40"/>
        <d v="1899-12-30T04:59:50"/>
        <d v="1899-12-30T04:08:57"/>
        <d v="1899-12-30T04:14:05"/>
        <d v="1899-12-30T05:26:56"/>
        <d v="1899-12-30T05:05:16"/>
        <d v="1899-12-30T04:56:45"/>
        <d v="1899-12-30T05:06:20"/>
        <d v="1899-12-30T04:11:43"/>
        <d v="1899-12-30T04:35:28"/>
        <d v="1899-12-30T05:14:16"/>
        <d v="1899-12-30T05:05:03"/>
        <d v="1899-12-30T04:59:15"/>
        <d v="1899-12-30T05:02:08"/>
        <d v="1899-12-30T04:32:56"/>
        <d v="1899-12-30T04:07:41"/>
        <d v="1899-12-30T04:51:30"/>
        <d v="1899-12-30T04:56:12"/>
        <d v="1899-12-30T04:56:56"/>
        <d v="1899-12-30T05:25:18"/>
        <d v="1899-12-30T04:58:27"/>
        <d v="1899-12-30T03:54:19"/>
        <d v="1899-12-30T03:21:30"/>
        <d v="1899-12-30T05:18:49"/>
        <d v="1899-12-30T05:26:19"/>
        <d v="1899-12-30T04:13:15"/>
        <d v="1899-12-30T05:08:41"/>
        <d v="1899-12-30T04:45:06"/>
        <d v="1899-12-30T04:42:13"/>
        <d v="1899-12-30T03:10:50"/>
        <d v="1899-12-30T04:39:06"/>
        <d v="1899-12-30T04:46:25"/>
        <d v="1899-12-30T04:51:12"/>
        <d v="1899-12-30T05:04:01"/>
        <d v="1899-12-30T04:26:11"/>
        <d v="1899-12-30T04:28:58"/>
        <d v="1899-12-30T04:29:51"/>
        <d v="1899-12-30T05:04:35"/>
        <d v="1899-12-30T03:09:32"/>
        <d v="1899-12-30T04:08:21"/>
        <d v="1899-12-30T03:38:44"/>
        <d v="1899-12-30T04:14:06"/>
        <d v="1899-12-30T03:55:15"/>
        <d v="1899-12-30T03:50:43"/>
        <d v="1899-12-30T03:13:40"/>
        <d v="1899-12-30T04:43:39"/>
        <d v="1899-12-30T04:54:19"/>
        <d v="1899-12-30T04:36:09"/>
        <d v="1899-12-30T04:44:15"/>
        <d v="1899-12-30T04:58:45"/>
        <d v="1899-12-30T04:44:56"/>
        <d v="1899-12-30T04:26:21"/>
        <d v="1899-12-30T04:02:05"/>
        <d v="1899-12-30T04:02:50"/>
        <d v="1899-12-30T04:26:54"/>
        <d v="1899-12-30T05:11:39"/>
        <d v="1899-12-30T03:03:51"/>
        <d v="1899-12-30T02:54:03"/>
        <d v="1899-12-30T05:10:46"/>
        <d v="1899-12-30T04:08:46"/>
        <d v="1899-12-30T03:40:53"/>
        <d v="1899-12-30T05:16:03"/>
        <d v="1899-12-30T05:07:23"/>
        <d v="1899-12-30T05:03:51"/>
        <d v="1899-12-30T05:05:29"/>
        <d v="1899-12-30T04:28:51"/>
        <d v="1899-12-30T04:58:12"/>
        <d v="1899-12-30T03:55:22"/>
        <d v="1899-12-30T00:48:33"/>
        <d v="1899-12-30T05:11:50"/>
        <d v="1899-12-30T04:49:40"/>
        <d v="1899-12-30T03:24:21"/>
        <d v="1899-12-30T04:44:35"/>
        <e v="#VALUE!"/>
        <d v="1899-12-30T01:13:06"/>
        <d v="1899-12-30T04:53:04"/>
        <d v="1899-12-30T01:36:08"/>
        <d v="1899-12-30T04:16:57"/>
        <d v="1899-12-30T04:47:03"/>
        <d v="1899-12-30T04:38:57"/>
        <d v="1899-12-30T02:53:07"/>
        <d v="1899-12-30T04:22:52"/>
        <d v="1899-12-30T04:25:29"/>
        <d v="1899-12-30T02:30:29"/>
        <d v="1899-12-30T04:52:13"/>
        <d v="1899-12-30T04:08:30"/>
        <d v="1899-12-30T05:35:38"/>
        <d v="1899-12-30T04:52:11"/>
        <d v="1899-12-30T05:00:37"/>
        <d v="1899-12-30T04:37:42"/>
        <d v="1899-12-30T05:00:14"/>
        <d v="1899-12-30T05:06:07"/>
        <d v="1899-12-30T05:19:44"/>
        <d v="1899-12-30T04:44:19"/>
        <d v="1899-12-30T04:33:29"/>
        <d v="1899-12-30T04:31:42"/>
        <d v="1899-12-30T04:51:46"/>
        <d v="1899-12-30T03:26:09"/>
        <d v="1899-12-30T03:27:15"/>
        <d v="1899-12-30T05:19:10"/>
        <d v="1899-12-30T03:41:07"/>
        <d v="1899-12-30T05:10:26"/>
        <d v="1899-12-30T03:41:29"/>
        <d v="1899-12-30T04:12:39"/>
        <d v="1899-12-30T04:54:52"/>
        <d v="1899-12-30T02:53:35"/>
        <d v="1899-12-30T05:06:25"/>
        <d v="1899-12-30T04:11:10"/>
        <d v="1899-12-30T02:38:49"/>
        <d v="1899-12-30T04:35:36"/>
        <d v="1899-12-30T04:05:03"/>
        <d v="1899-12-30T04:31:57"/>
        <d v="1899-12-30T05:19:12"/>
        <d v="1899-12-30T02:54:25"/>
        <d v="1899-12-30T04:36:50"/>
        <d v="1899-12-30T04:50:07"/>
        <d v="1899-12-30T02:59:39"/>
        <d v="1899-12-30T05:24:05"/>
        <d v="1899-12-30T02:52:08"/>
        <d v="1899-12-30T04:51:52"/>
        <d v="1899-12-30T05:15:36"/>
        <d v="1899-12-30T03:36:51"/>
        <d v="1899-12-30T05:15:14"/>
        <d v="1899-12-30T03:08:41"/>
        <d v="1899-12-30T04:38:49"/>
      </sharedItems>
    </cacheField>
    <cacheField name="Total Break Taken" numFmtId="164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3">
  <r>
    <s v="Mum_Abdul Hamid (1008512)"/>
    <x v="0"/>
    <d v="1899-12-30T08:15:43"/>
    <x v="0"/>
    <d v="1899-12-30T01:08:42"/>
    <n v="98"/>
    <n v="0.55697138822580095"/>
  </r>
  <r>
    <s v="Mum_Afzal Husain (1008513)"/>
    <x v="1"/>
    <d v="1899-12-30T08:15:36"/>
    <x v="1"/>
    <d v="1899-12-30T01:09:59"/>
    <n v="23"/>
    <n v="0.58027306967984904"/>
  </r>
  <r>
    <s v="Mum_Anamika Gupta (1008514)"/>
    <x v="2"/>
    <d v="1899-12-30T08:16:57"/>
    <x v="2"/>
    <d v="1899-12-30T01:13:54"/>
    <n v="28"/>
    <n v="0.51708756749505302"/>
  </r>
  <r>
    <s v="Mum_Anikuttan (1008515)"/>
    <x v="3"/>
    <d v="1899-12-30T08:09:56"/>
    <x v="3"/>
    <d v="1899-12-30T02:19:02"/>
    <n v="29"/>
    <n v="0.47720778337188702"/>
  </r>
  <r>
    <s v="Mum_Anil Kumar (1008516)"/>
    <x v="4"/>
    <d v="1899-12-30T07:20:41"/>
    <x v="4"/>
    <d v="1899-12-30T03:04:58"/>
    <n v="93"/>
    <n v="0.43288831738587802"/>
  </r>
  <r>
    <s v="Mum_Anita Dixit (1008517)"/>
    <x v="5"/>
    <d v="1899-12-30T05:00:09"/>
    <x v="5"/>
    <d v="1899-12-30T00:27:07"/>
    <n v="92"/>
    <n v="0.65495030262646503"/>
  </r>
  <r>
    <s v="Mum_Anita Ghore (1008518)"/>
    <x v="6"/>
    <d v="1899-12-30T08:16:38"/>
    <x v="6"/>
    <d v="1899-12-30T02:41:42"/>
    <n v="26"/>
    <n v="0.49476474931203401"/>
  </r>
  <r>
    <s v="Mum_Anjali Deoram (1008519)"/>
    <x v="7"/>
    <d v="1899-12-30T09:16:31"/>
    <x v="7"/>
    <d v="1899-12-30T01:13:10"/>
    <n v="90"/>
    <n v="0.55128627474469205"/>
  </r>
  <r>
    <s v="Mum_Anjali Sahay (1008520)"/>
    <x v="8"/>
    <d v="1899-12-30T08:13:18"/>
    <x v="8"/>
    <d v="1899-12-30T01:06:39"/>
    <n v="89"/>
    <n v="0.55206432867085597"/>
  </r>
  <r>
    <s v="Mum_Annu Latika (1008521)"/>
    <x v="9"/>
    <d v="1899-12-30T08:20:41"/>
    <x v="9"/>
    <d v="1899-12-30T01:09:57"/>
    <n v="54"/>
    <n v="0.56868945774108703"/>
  </r>
  <r>
    <s v="Mum_Anoop Narayan (1008522)"/>
    <x v="10"/>
    <d v="1899-12-30T08:10:35"/>
    <x v="10"/>
    <d v="1899-12-30T01:09:15"/>
    <n v="87"/>
    <n v="0.56035332087650802"/>
  </r>
  <r>
    <s v="Mum_Anoop Raj (1008523)"/>
    <x v="11"/>
    <d v="1899-12-30T08:04:10"/>
    <x v="11"/>
    <d v="1899-12-30T03:01:18"/>
    <n v="65"/>
    <n v="0.41552495697073999"/>
  </r>
  <r>
    <s v="Mum_Anubhuti Gupta (1008524)"/>
    <x v="12"/>
    <d v="1899-12-30T08:14:38"/>
    <x v="12"/>
    <d v="1899-12-30T02:06:41"/>
    <n v="85"/>
    <n v="0.50026955994339195"/>
  </r>
  <r>
    <s v="Mum_Arun Kumar (1008525)"/>
    <x v="13"/>
    <d v="1899-12-30T07:59:50"/>
    <x v="13"/>
    <d v="1899-12-30T01:10:34"/>
    <n v="65"/>
    <n v="0.51396318166029897"/>
  </r>
  <r>
    <s v="Mum_Ashish Kumar (1008526)"/>
    <x v="14"/>
    <d v="1899-12-30T08:16:59"/>
    <x v="14"/>
    <d v="1899-12-30T01:16:59"/>
    <n v="83"/>
    <n v="0.510580502364264"/>
  </r>
  <r>
    <s v="Mum_Ashok Kumar (1008527)"/>
    <x v="15"/>
    <d v="1899-12-30T08:17:15"/>
    <x v="15"/>
    <d v="1899-12-30T02:24:20"/>
    <n v="82"/>
    <n v="0.48292274174627098"/>
  </r>
  <r>
    <s v="Hyd_Ashok Mahto (1008531)"/>
    <x v="16"/>
    <d v="1899-12-30T08:17:52"/>
    <x v="16"/>
    <d v="1899-12-30T01:14:30"/>
    <n v="78"/>
    <n v="0.57495313336904097"/>
  </r>
  <r>
    <s v="Hyd_Atul Kumar (1008532)"/>
    <x v="17"/>
    <d v="1899-12-30T08:13:41"/>
    <x v="17"/>
    <d v="1899-12-30T01:06:59"/>
    <n v="77"/>
    <n v="0.57945376590932096"/>
  </r>
  <r>
    <s v="Hyd_Azam (1008533)"/>
    <x v="18"/>
    <d v="1899-12-30T08:17:34"/>
    <x v="18"/>
    <d v="1899-12-30T01:09:47"/>
    <n v="76"/>
    <n v="0.588296375695049"/>
  </r>
  <r>
    <s v="Hyd_Bhagwat Singh (1008534)"/>
    <x v="19"/>
    <d v="1899-12-30T07:41:44"/>
    <x v="19"/>
    <d v="1899-12-30T02:10:18"/>
    <n v="75"/>
    <n v="0.46267686976609901"/>
  </r>
  <r>
    <s v="Hyd_Bindu Nair (1008535)"/>
    <x v="20"/>
    <d v="1899-12-30T08:10:04"/>
    <x v="20"/>
    <d v="1899-12-30T02:11:17"/>
    <n v="74"/>
    <n v="0.478030199972793"/>
  </r>
  <r>
    <s v="Hyd_Daleep Singh (1008536)"/>
    <x v="21"/>
    <d v="1899-12-30T08:14:20"/>
    <x v="21"/>
    <d v="1899-12-30T01:12:54"/>
    <n v="73"/>
    <n v="0.59983142279163904"/>
  </r>
  <r>
    <s v="Hyd_Deepak Kumar (1008537)"/>
    <x v="22"/>
    <d v="1899-12-30T07:35:57"/>
    <x v="22"/>
    <d v="1899-12-30T00:30:30"/>
    <n v="72"/>
    <n v="0.65029060203969702"/>
  </r>
  <r>
    <s v="Hyd_Deepika Nigam (1008538)"/>
    <x v="23"/>
    <d v="1899-12-30T08:16:59"/>
    <x v="23"/>
    <d v="1899-12-30T01:11:40"/>
    <n v="71"/>
    <n v="0.55001844461584903"/>
  </r>
  <r>
    <s v="Hyd_Dinesh Kumar (1008539)"/>
    <x v="24"/>
    <d v="1899-12-30T08:13:53"/>
    <x v="24"/>
    <d v="1899-12-30T01:10:03"/>
    <n v="70"/>
    <n v="0.51334660682347399"/>
  </r>
  <r>
    <s v="Hyd_Hari Kumar (1008540)"/>
    <x v="25"/>
    <d v="1899-12-30T08:15:11"/>
    <x v="25"/>
    <d v="1899-12-30T02:44:52"/>
    <n v="69"/>
    <n v="0.43603379219817601"/>
  </r>
  <r>
    <s v="Hyd_Heeramani Choudhary (1008541)"/>
    <x v="26"/>
    <d v="1899-12-30T07:27:24"/>
    <x v="26"/>
    <d v="1899-12-30T01:20:20"/>
    <n v="68"/>
    <n v="0.52954105200417201"/>
  </r>
  <r>
    <s v="Hyd_Indra Pal (1008542)"/>
    <x v="27"/>
    <d v="1899-12-30T07:59:57"/>
    <x v="27"/>
    <d v="1899-12-30T01:09:15"/>
    <n v="67"/>
    <n v="0.56446852102649603"/>
  </r>
  <r>
    <s v="Hyd_Indra Singh (1008543)"/>
    <x v="28"/>
    <d v="1899-12-30T08:17:44"/>
    <x v="28"/>
    <d v="1899-12-30T02:09:14"/>
    <n v="66"/>
    <n v="0.49789043664612898"/>
  </r>
  <r>
    <s v="Hyd_Jagdish Chandra (1008544)"/>
    <x v="29"/>
    <d v="1899-12-30T08:19:10"/>
    <x v="29"/>
    <d v="1899-12-30T01:09:03"/>
    <n v="65"/>
    <n v="0.56270450751252099"/>
  </r>
  <r>
    <s v="Hyd_Jairaj Vatham (1008545)"/>
    <x v="30"/>
    <d v="1899-12-30T08:16:23"/>
    <x v="30"/>
    <d v="1899-12-30T01:09:56"/>
    <n v="64"/>
    <n v="0.57680556021891705"/>
  </r>
  <r>
    <s v="Hyd_Janardan Mishra (1008546)"/>
    <x v="31"/>
    <d v="1899-12-30T07:39:42"/>
    <x v="31"/>
    <d v="1899-12-30T01:28:09"/>
    <n v="63"/>
    <n v="0.55728373576970502"/>
  </r>
  <r>
    <s v="Hyd_Jitendra Kumar (1008547)"/>
    <x v="32"/>
    <d v="1899-12-30T08:11:27"/>
    <x v="32"/>
    <d v="1899-12-30T02:35:12"/>
    <n v="62"/>
    <n v="0.47590463594126198"/>
  </r>
  <r>
    <s v="Hyd_John D'Costa (1008548)"/>
    <x v="33"/>
    <d v="1899-12-30T08:09:47"/>
    <x v="33"/>
    <d v="1899-12-30T01:09:36"/>
    <n v="61"/>
    <n v="0.55636846224520997"/>
  </r>
  <r>
    <s v="Hyd_Julie S (1008549)"/>
    <x v="34"/>
    <d v="1899-12-30T08:15:46"/>
    <x v="34"/>
    <d v="1899-12-30T01:10:44"/>
    <n v="60"/>
    <n v="0.527970147246689"/>
  </r>
  <r>
    <s v="Hyd_Jyoti Tulsani (1008550)"/>
    <x v="35"/>
    <d v="1899-12-30T08:15:19"/>
    <x v="35"/>
    <d v="1899-12-30T01:10:27"/>
    <n v="59"/>
    <n v="0.565025741108382"/>
  </r>
  <r>
    <s v="Hyd_Kahkasha Parveen (1008551)"/>
    <x v="36"/>
    <d v="1899-12-30T08:17:24"/>
    <x v="36"/>
    <d v="1899-12-30T01:10:12"/>
    <n v="58"/>
    <n v="0.48579278917035301"/>
  </r>
  <r>
    <s v="Hyd_Kailash Nath (1008552)"/>
    <x v="37"/>
    <d v="1899-12-30T08:16:01"/>
    <x v="37"/>
    <d v="1899-12-30T01:07:40"/>
    <n v="57"/>
    <n v="0.572258996673499"/>
  </r>
  <r>
    <s v="Hyd_Kalpana Agrawal (1008553)"/>
    <x v="38"/>
    <d v="1899-12-30T08:00:08"/>
    <x v="38"/>
    <d v="1899-12-30T02:24:54"/>
    <n v="56"/>
    <n v="0.46542627048042201"/>
  </r>
  <r>
    <s v="Hyd_Kamini Kumar (1008554)"/>
    <x v="39"/>
    <d v="1899-12-30T05:01:37"/>
    <x v="39"/>
    <d v="1899-12-30T00:15:00"/>
    <n v="55"/>
    <n v="0.64380836602751801"/>
  </r>
  <r>
    <s v="Hyd_Kamini Tiwari (1008555)"/>
    <x v="40"/>
    <d v="1899-12-30T08:26:46"/>
    <x v="40"/>
    <d v="1899-12-30T01:09:45"/>
    <n v="54"/>
    <n v="0.57347234098533195"/>
  </r>
  <r>
    <s v="Hyd_Kavita Sharma (1008556)"/>
    <x v="41"/>
    <d v="1899-12-30T07:53:25"/>
    <x v="41"/>
    <d v="1899-12-30T00:56:19"/>
    <n v="53"/>
    <n v="0.64717479317021698"/>
  </r>
  <r>
    <s v="Hyd_Kiran Khubchandani (1008557)"/>
    <x v="42"/>
    <d v="1899-12-30T08:01:28"/>
    <x v="42"/>
    <d v="1899-12-30T02:10:24"/>
    <n v="52"/>
    <n v="0.50443090556632497"/>
  </r>
  <r>
    <s v="Hyd_Kisun Sah (1008558)"/>
    <x v="43"/>
    <d v="1899-12-30T08:21:34"/>
    <x v="43"/>
    <d v="1899-12-30T01:09:28"/>
    <n v="51"/>
    <n v="0.55280122283511701"/>
  </r>
  <r>
    <s v="Hyd_Krishana Kumar (1008559)"/>
    <x v="44"/>
    <d v="1899-12-30T08:15:28"/>
    <x v="44"/>
    <d v="1899-12-30T01:09:45"/>
    <n v="50"/>
    <n v="0.55493137782561897"/>
  </r>
  <r>
    <s v="Hyd_Kunj Bihari (1008560)"/>
    <x v="45"/>
    <d v="1899-12-30T07:59:19"/>
    <x v="45"/>
    <d v="1899-12-30T01:10:11"/>
    <n v="49"/>
    <n v="0.55217497131332804"/>
  </r>
  <r>
    <s v="Hyd_Leena George (1008561)"/>
    <x v="46"/>
    <d v="1899-12-30T04:56:13"/>
    <x v="46"/>
    <d v="1899-12-30T00:18:10"/>
    <n v="48"/>
    <n v="0.58819557756147001"/>
  </r>
  <r>
    <s v="Hyd_Lilly Lucy (1008562)"/>
    <x v="47"/>
    <d v="1899-12-30T07:45:23"/>
    <x v="47"/>
    <d v="1899-12-30T01:14:44"/>
    <n v="47"/>
    <n v="0.55534863732407003"/>
  </r>
  <r>
    <s v="Hyd_Mangal Singh (1008563)"/>
    <x v="48"/>
    <d v="1899-12-30T08:00:13"/>
    <x v="48"/>
    <d v="1899-12-30T01:10:04"/>
    <n v="46"/>
    <n v="0.55815083469267301"/>
  </r>
  <r>
    <s v="Hyd_Manisha Shrivastava (1008564)"/>
    <x v="49"/>
    <d v="1899-12-30T08:09:49"/>
    <x v="49"/>
    <d v="1899-12-30T01:10:09"/>
    <n v="45"/>
    <n v="0.53002824185919895"/>
  </r>
  <r>
    <s v="Hyd_Manjusha Sinha (1008565)"/>
    <x v="50"/>
    <d v="1899-12-30T08:14:05"/>
    <x v="50"/>
    <d v="1899-12-30T01:10:39"/>
    <n v="44"/>
    <n v="0.54639905548996504"/>
  </r>
  <r>
    <s v="Hyd_ManjuTiwari Lab (1008566)"/>
    <x v="51"/>
    <d v="1899-12-30T07:41:28"/>
    <x v="51"/>
    <d v="1899-12-30T01:10:46"/>
    <n v="43"/>
    <n v="0.52849609939323905"/>
  </r>
  <r>
    <s v="Hyd_Manoj Kumar (1008567)"/>
    <x v="52"/>
    <d v="1899-12-30T08:00:44"/>
    <x v="52"/>
    <d v="1899-12-30T01:09:53"/>
    <n v="42"/>
    <n v="0.53279711551795905"/>
  </r>
  <r>
    <s v="Hyd_Manoj Kumar (1008568)"/>
    <x v="52"/>
    <d v="1899-12-30T07:55:23"/>
    <x v="53"/>
    <d v="1899-12-30T01:15:59"/>
    <n v="41"/>
    <n v="0.53150089401535605"/>
  </r>
  <r>
    <s v="Hyd_Masroor Adil (1008569)"/>
    <x v="53"/>
    <d v="1899-12-30T08:10:04"/>
    <x v="54"/>
    <d v="1899-12-30T01:11:39"/>
    <n v="40"/>
    <n v="0.58954564004897303"/>
  </r>
  <r>
    <s v="Hyd_Meena Zinjare (1008570)"/>
    <x v="54"/>
    <d v="1899-12-30T08:05:29"/>
    <x v="55"/>
    <d v="1899-12-30T03:34:45"/>
    <n v="39"/>
    <n v="0.34903360911806097"/>
  </r>
  <r>
    <s v="Hyd_Mehnaz Khan (1008571)"/>
    <x v="55"/>
    <d v="1899-12-30T08:14:51"/>
    <x v="56"/>
    <d v="1899-12-30T02:12:24"/>
    <n v="38"/>
    <n v="0.47933717288067101"/>
  </r>
  <r>
    <s v="Hyd_Mercy Thampi (1008572)"/>
    <x v="56"/>
    <d v="1899-12-30T05:15:35"/>
    <x v="57"/>
    <d v="1899-12-30T00:15:35"/>
    <n v="37"/>
    <n v="0.62762080802746201"/>
  </r>
  <r>
    <s v="Hyd_Miny Mole (1008573)"/>
    <x v="57"/>
    <d v="1899-12-30T08:12:10"/>
    <x v="58"/>
    <d v="1899-12-30T02:13:07"/>
    <n v="36"/>
    <n v="0.47561801557737898"/>
  </r>
  <r>
    <s v="Hyd_Mohd Rafi (1008574)"/>
    <x v="58"/>
    <d v="1899-12-30T08:00:32"/>
    <x v="59"/>
    <d v="1899-12-30T02:38:29"/>
    <n v="35"/>
    <n v="0.43635543840177599"/>
  </r>
  <r>
    <s v="Hyd_Mubeen Khan (1008575)"/>
    <x v="59"/>
    <d v="1899-12-30T07:55:35"/>
    <x v="60"/>
    <d v="1899-12-30T02:24:38"/>
    <n v="34"/>
    <n v="0.451270369721395"/>
  </r>
  <r>
    <s v="Hyd_Mukesh Nagar (1008576)"/>
    <x v="60"/>
    <d v="1899-12-30T05:01:07"/>
    <x v="61"/>
    <d v="1899-12-30T00:29:34"/>
    <n v="33"/>
    <n v="0.61244257486024201"/>
  </r>
  <r>
    <s v="Hyd_Nandu Kumar (1008577)"/>
    <x v="61"/>
    <d v="1899-12-30T08:21:39"/>
    <x v="62"/>
    <d v="1899-12-30T01:14:03"/>
    <n v="32"/>
    <n v="0.51755872288115901"/>
  </r>
  <r>
    <s v="Hyd_Narayan Singh (1008578)"/>
    <x v="62"/>
    <d v="1899-12-30T08:19:29"/>
    <x v="63"/>
    <d v="1899-12-30T01:08:27"/>
    <n v="31"/>
    <n v="0.55550735760285597"/>
  </r>
  <r>
    <s v="Hyd_Neeraj Saxena (1008579)"/>
    <x v="63"/>
    <d v="1899-12-30T08:21:13"/>
    <x v="64"/>
    <d v="1899-12-30T02:15:18"/>
    <n v="30"/>
    <n v="0.45535862734013899"/>
  </r>
  <r>
    <s v="Hyd_Neeru Mehta (1008580)"/>
    <x v="64"/>
    <d v="1899-12-30T08:02:20"/>
    <x v="65"/>
    <d v="1899-12-30T01:10:03"/>
    <n v="29"/>
    <n v="0.53445058742225304"/>
  </r>
  <r>
    <s v="Hyd_Nikita Panwalkar (1008581)"/>
    <x v="65"/>
    <d v="1899-12-30T08:16:46"/>
    <x v="66"/>
    <d v="1899-12-30T01:37:25"/>
    <n v="28"/>
    <n v="0.55914916459773201"/>
  </r>
  <r>
    <s v="Hyd_Nitin Bhatia (1008582)"/>
    <x v="66"/>
    <d v="1899-12-30T08:00:37"/>
    <x v="67"/>
    <d v="1899-12-30T01:09:53"/>
    <n v="29"/>
    <n v="0.56847106148351101"/>
  </r>
  <r>
    <s v="Hyd_Om Prakash (1008583)"/>
    <x v="67"/>
    <d v="1899-12-30T07:55:44"/>
    <x v="68"/>
    <d v="1899-12-30T01:36:03"/>
    <n v="30"/>
    <n v="0.47509108744394601"/>
  </r>
  <r>
    <s v="Hyd_Omprakash O (1008584)"/>
    <x v="68"/>
    <d v="1899-12-30T08:09:43"/>
    <x v="69"/>
    <d v="1899-12-30T02:11:54"/>
    <n v="31"/>
    <n v="0.47578531804104401"/>
  </r>
  <r>
    <s v="Hyd_Owais Mohd (1008585)"/>
    <x v="69"/>
    <d v="1899-12-30T08:01:11"/>
    <x v="70"/>
    <d v="1899-12-30T02:26:26"/>
    <n v="32"/>
    <n v="0.46898271622042897"/>
  </r>
  <r>
    <s v="Hyd_Pankaj Shelkey (1008586)"/>
    <x v="70"/>
    <d v="1899-12-30T08:15:54"/>
    <x v="71"/>
    <d v="1899-12-30T01:55:26"/>
    <n v="33"/>
    <n v="0.51361161524500898"/>
  </r>
  <r>
    <s v="Hyd_Partha Sarathi (1008587)"/>
    <x v="71"/>
    <d v="1899-12-30T08:32:22"/>
    <x v="72"/>
    <d v="1899-12-30T01:38:42"/>
    <n v="34"/>
    <n v="0.525112224318522"/>
  </r>
  <r>
    <s v="Hyd_Prabha Desikan (1008588)"/>
    <x v="72"/>
    <d v="1899-12-30T08:21:49"/>
    <x v="73"/>
    <d v="1899-12-30T04:11:26"/>
    <n v="35"/>
    <n v="0.348600086352918"/>
  </r>
  <r>
    <s v="Hyd_Pramod Tiwari (1008589)"/>
    <x v="73"/>
    <d v="1899-12-30T08:25:20"/>
    <x v="74"/>
    <d v="1899-12-30T04:21:06"/>
    <n v="36"/>
    <n v="0.314709762532982"/>
  </r>
  <r>
    <s v="Hyd_Prasannakumari S (1008590)"/>
    <x v="74"/>
    <d v="1899-12-30T08:08:02"/>
    <x v="75"/>
    <d v="1899-12-30T01:10:25"/>
    <n v="37"/>
    <n v="0.55600710333993597"/>
  </r>
  <r>
    <s v="Hyd_Praveen Kumar (1008591)"/>
    <x v="75"/>
    <d v="1899-12-30T08:19:20"/>
    <x v="76"/>
    <d v="1899-12-30T02:37:28"/>
    <n v="38"/>
    <n v="0.46221628838451301"/>
  </r>
  <r>
    <s v="Hyd_Rachel Mathew (1008592)"/>
    <x v="76"/>
    <d v="1899-12-30T08:25:36"/>
    <x v="77"/>
    <d v="1899-12-30T03:20:01"/>
    <n v="39"/>
    <n v="0.39075685654008402"/>
  </r>
  <r>
    <s v="Hyd_Rachita Anupam (1008593)"/>
    <x v="77"/>
    <d v="1899-12-30T08:16:26"/>
    <x v="78"/>
    <d v="1899-12-30T01:08:32"/>
    <n v="40"/>
    <n v="0.54713623850130899"/>
  </r>
  <r>
    <s v="Hyd_Rachna Chauhan (1008594)"/>
    <x v="78"/>
    <d v="1899-12-30T07:36:07"/>
    <x v="79"/>
    <d v="1899-12-30T00:30:20"/>
    <n v="41"/>
    <n v="0.61457229509993805"/>
  </r>
  <r>
    <s v="Hyd_Raj Kumar (1008595)"/>
    <x v="79"/>
    <d v="1899-12-30T08:09:57"/>
    <x v="80"/>
    <d v="1899-12-30T01:08:44"/>
    <n v="42"/>
    <n v="0.55335578460387103"/>
  </r>
  <r>
    <s v="Hyd_Rajeev Garg (1008596)"/>
    <x v="80"/>
    <d v="1899-12-30T08:04:00"/>
    <x v="81"/>
    <d v="1899-12-30T01:08:24"/>
    <n v="43"/>
    <n v="0.611363636363636"/>
  </r>
  <r>
    <s v="Hyd_Rajeev Kumar (1008597)"/>
    <x v="81"/>
    <d v="1899-12-30T07:59:43"/>
    <x v="82"/>
    <d v="1899-12-30T01:37:06"/>
    <n v="44"/>
    <n v="0.51217732689434703"/>
  </r>
  <r>
    <s v="Hyd_Rajendra Gupta (1008598)"/>
    <x v="82"/>
    <d v="1899-12-30T08:25:57"/>
    <x v="83"/>
    <d v="1899-12-30T01:19:08"/>
    <n v="45"/>
    <n v="0.56029910728991705"/>
  </r>
  <r>
    <s v="Hyd_Rajendra Kumar (1008599)"/>
    <x v="83"/>
    <d v="1899-12-30T08:14:44"/>
    <x v="84"/>
    <d v="1899-12-30T02:34:16"/>
    <n v="46"/>
    <n v="0.42891793558819602"/>
  </r>
  <r>
    <s v="Hyd_Rajendra Prasad (1008600)"/>
    <x v="84"/>
    <d v="1899-12-30T08:22:34"/>
    <x v="85"/>
    <d v="1899-12-30T07:08:19"/>
    <n v="47"/>
    <n v="9.4547987000066294E-2"/>
  </r>
  <r>
    <s v="Hyd_Rajesh Kumar (1008601)"/>
    <x v="85"/>
    <d v="1899-12-30T08:00:39"/>
    <x v="86"/>
    <d v="1899-12-30T01:12:04"/>
    <n v="48"/>
    <n v="0.61021533340268397"/>
  </r>
  <r>
    <s v="Hyd_Rajesh Kumar (1008602)"/>
    <x v="85"/>
    <d v="1899-12-30T08:17:39"/>
    <x v="87"/>
    <d v="1899-12-30T02:06:35"/>
    <n v="49"/>
    <n v="0.51260926353863201"/>
  </r>
  <r>
    <s v="Hyd_Rajesh Sharma (1008603)"/>
    <x v="86"/>
    <d v="1899-12-30T05:04:31"/>
    <x v="88"/>
    <d v="1899-12-30T00:24:27"/>
    <n v="50"/>
    <n v="0.62426796562859199"/>
  </r>
  <r>
    <s v="Hyd_Raji Abraham (1008604)"/>
    <x v="87"/>
    <d v="1899-12-30T08:10:41"/>
    <x v="89"/>
    <d v="1899-12-30T01:09:28"/>
    <n v="51"/>
    <n v="0.54373153085832704"/>
  </r>
  <r>
    <s v="Hyd_Rajshree Dhabekar (1008605)"/>
    <x v="88"/>
    <d v="1899-12-30T08:15:13"/>
    <x v="90"/>
    <d v="1899-12-30T08:15:09"/>
    <n v="52"/>
    <n v="0"/>
  </r>
  <r>
    <s v="Hyd_Rakhi Jodhani (1008606)"/>
    <x v="89"/>
    <d v="1899-12-30T08:02:52"/>
    <x v="91"/>
    <d v="1899-12-30T06:39:44"/>
    <n v="53"/>
    <n v="0.14431174927516199"/>
  </r>
  <r>
    <s v="Hyd_Ramji Prasad (1008607)"/>
    <x v="90"/>
    <d v="1899-12-30T08:19:26"/>
    <x v="92"/>
    <d v="1899-12-30T01:13:46"/>
    <n v="54"/>
    <n v="0.55259293866381898"/>
  </r>
  <r>
    <s v="Del_Rashid (1008608)"/>
    <x v="91"/>
    <d v="1899-12-30T08:02:10"/>
    <x v="93"/>
    <d v="1899-12-30T05:45:13"/>
    <n v="55"/>
    <n v="0.18938817836156199"/>
  </r>
  <r>
    <s v="Del_Rashmi Gajbe (1008609)"/>
    <x v="92"/>
    <d v="1899-12-30T08:20:42"/>
    <x v="94"/>
    <d v="1899-12-30T02:04:58"/>
    <n v="56"/>
    <n v="0.47077424938419499"/>
  </r>
  <r>
    <s v="Del_Ravi Kumar (1008610)"/>
    <x v="93"/>
    <d v="1899-12-30T08:00:44"/>
    <x v="95"/>
    <d v="1899-12-30T01:11:14"/>
    <n v="57"/>
    <n v="0.53862155040909698"/>
  </r>
  <r>
    <s v="Del_Ravinder Kaur (1008611)"/>
    <x v="94"/>
    <d v="1899-12-30T08:01:53"/>
    <x v="96"/>
    <d v="1899-12-30T01:09:28"/>
    <n v="58"/>
    <n v="0.53294365856189296"/>
  </r>
  <r>
    <s v="Del_Rekha Agarwal (1008612)"/>
    <x v="95"/>
    <d v="1899-12-30T05:53:52"/>
    <x v="97"/>
    <d v="1899-12-30T02:41:42"/>
    <n v="59"/>
    <n v="0.41310286360211002"/>
  </r>
  <r>
    <s v="Del_Rekha Gupta (1008613)"/>
    <x v="96"/>
    <d v="1899-12-30T08:16:02"/>
    <x v="98"/>
    <d v="1899-12-30T01:50:37"/>
    <n v="60"/>
    <n v="0.50483838451717"/>
  </r>
  <r>
    <s v="Del_Rekha Jain  (1008614)"/>
    <x v="97"/>
    <d v="1899-12-30T08:15:42"/>
    <x v="99"/>
    <d v="1899-12-30T01:36:57"/>
    <n v="61"/>
    <n v="0.52390558805729304"/>
  </r>
  <r>
    <s v="Del_Renu Pratap (1008615)"/>
    <x v="98"/>
    <d v="1899-12-30T08:16:30"/>
    <x v="100"/>
    <d v="1899-12-30T05:07:55"/>
    <n v="62"/>
    <n v="0.25444780127559602"/>
  </r>
  <r>
    <s v="Del_Ritu Bhatnagar (1008616)"/>
    <x v="99"/>
    <d v="1899-12-30T08:01:48"/>
    <x v="101"/>
    <d v="1899-12-30T01:13:20"/>
    <n v="63"/>
    <n v="0.55517503805174995"/>
  </r>
  <r>
    <s v="Del_Rohit Nishchal (1008617)"/>
    <x v="100"/>
    <d v="1899-12-30T08:17:09"/>
    <x v="90"/>
    <d v="1899-12-30T08:17:00"/>
    <n v="64"/>
    <n v="0"/>
  </r>
  <r>
    <s v="Del_Roli Bhatnagar (1008618)"/>
    <x v="101"/>
    <d v="1899-12-30T08:15:43"/>
    <x v="102"/>
    <d v="1899-12-30T02:10:16"/>
    <n v="65"/>
    <n v="0.477120667047709"/>
  </r>
  <r>
    <s v="Del_Roma Rastogi (1008619)"/>
    <x v="102"/>
    <d v="1899-12-30T08:31:02"/>
    <x v="103"/>
    <d v="1899-12-30T00:53:47"/>
    <n v="66"/>
    <n v="0.61917030852521004"/>
  </r>
  <r>
    <s v="Del_Roohi Haider (1008620)"/>
    <x v="103"/>
    <d v="1899-12-30T08:00:11"/>
    <x v="104"/>
    <d v="1899-12-30T01:09:24"/>
    <n v="67"/>
    <n v="0.55305265350039901"/>
  </r>
  <r>
    <s v="Del_Sajid Naqvi (1008621)"/>
    <x v="104"/>
    <d v="1899-12-30T08:15:48"/>
    <x v="105"/>
    <d v="1899-12-30T01:08:40"/>
    <n v="68"/>
    <n v="0.56195374478956595"/>
  </r>
  <r>
    <s v="Del_Salim (1008622)"/>
    <x v="105"/>
    <d v="1899-12-30T08:15:56"/>
    <x v="106"/>
    <d v="1899-12-30T01:59:29"/>
    <n v="69"/>
    <n v="0.48780077967468699"/>
  </r>
  <r>
    <s v="Del_Sanjay Hire (1008623)"/>
    <x v="106"/>
    <d v="1899-12-30T08:15:52"/>
    <x v="107"/>
    <d v="1899-12-30T01:09:43"/>
    <n v="70"/>
    <n v="0.55414762032804499"/>
  </r>
  <r>
    <s v="Del_Sanjiv Subherwal (1008624)"/>
    <x v="107"/>
    <d v="1899-12-30T08:02:17"/>
    <x v="108"/>
    <d v="1899-12-30T01:10:15"/>
    <n v="71"/>
    <n v="0.58651553374572396"/>
  </r>
  <r>
    <s v="Del_Sanju Ramdas (1008625)"/>
    <x v="108"/>
    <d v="1899-12-30T08:15:58"/>
    <x v="109"/>
    <d v="1899-12-30T01:13:56"/>
    <n v="72"/>
    <n v="0.58165871362322696"/>
  </r>
  <r>
    <s v="Del_Santosh Kumar (1008628)"/>
    <x v="109"/>
    <d v="1899-12-30T08:02:59"/>
    <x v="110"/>
    <d v="1899-12-30T01:12:01"/>
    <n v="75"/>
    <n v="0.54653369681493502"/>
  </r>
  <r>
    <s v="Del_Sapna Sharma (1008629)"/>
    <x v="110"/>
    <d v="1899-12-30T08:04:14"/>
    <x v="111"/>
    <d v="1899-12-30T01:32:37"/>
    <n v="76"/>
    <n v="0.53238796723342696"/>
  </r>
  <r>
    <s v="Del_Saroj Parita (1008630)"/>
    <x v="111"/>
    <d v="1899-12-30T08:01:59"/>
    <x v="112"/>
    <d v="1899-12-30T01:45:37"/>
    <n v="77"/>
    <n v="0.47020989660776702"/>
  </r>
  <r>
    <s v="Del_Shailaja Kamal (1008631)"/>
    <x v="112"/>
    <d v="1899-12-30T08:09:14"/>
    <x v="113"/>
    <d v="1899-12-30T01:08:46"/>
    <n v="78"/>
    <n v="0.54633099407235797"/>
  </r>
  <r>
    <s v="Del_Shailendra Barge (1008632)"/>
    <x v="113"/>
    <d v="1899-12-30T08:17:38"/>
    <x v="114"/>
    <d v="1899-12-30T03:43:06"/>
    <n v="79"/>
    <n v="0.38820416638756799"/>
  </r>
  <r>
    <s v="Del_Shankar Attendant (1008633)"/>
    <x v="114"/>
    <d v="1899-12-30T07:57:56"/>
    <x v="115"/>
    <d v="1899-12-30T03:15:05"/>
    <n v="80"/>
    <n v="0.40277584042404802"/>
  </r>
  <r>
    <s v="Del_Shashikant Tiwari (1008634)"/>
    <x v="115"/>
    <d v="1899-12-30T08:14:55"/>
    <x v="116"/>
    <d v="1899-12-30T01:09:59"/>
    <n v="81"/>
    <n v="0.54352584610203702"/>
  </r>
  <r>
    <s v="Del_Sheeba Joseph (1008635)"/>
    <x v="116"/>
    <d v="1899-12-30T08:30:57"/>
    <x v="117"/>
    <d v="1899-12-30T00:55:39"/>
    <n v="82"/>
    <n v="0.28371986821932998"/>
  </r>
  <r>
    <s v="Del_Sheena Joseph (1008636)"/>
    <x v="117"/>
    <d v="1899-12-30T08:49:34"/>
    <x v="118"/>
    <d v="1899-12-30T01:41:30"/>
    <n v="83"/>
    <n v="0.56196890539434796"/>
  </r>
  <r>
    <s v="Del_Shephali Jain (1008637)"/>
    <x v="118"/>
    <d v="1899-12-30T08:25:43"/>
    <x v="119"/>
    <d v="1899-12-30T03:23:49"/>
    <n v="84"/>
    <n v="0.40332201825791802"/>
  </r>
  <r>
    <s v="Del_Shivji Prasad (1008638)"/>
    <x v="119"/>
    <d v="1899-12-30T08:11:40"/>
    <x v="120"/>
    <d v="1899-12-30T02:17:48"/>
    <n v="85"/>
    <n v="0.43796610169491501"/>
  </r>
  <r>
    <s v="Del_Shubhanjali Joshi (1008639)"/>
    <x v="120"/>
    <d v="1899-12-30T08:17:17"/>
    <x v="121"/>
    <d v="1899-12-30T01:19:32"/>
    <n v="86"/>
    <n v="0.55581995508931903"/>
  </r>
  <r>
    <s v="Del_Shyamal Malakar (1008640)"/>
    <x v="121"/>
    <d v="1899-12-30T08:15:36"/>
    <x v="122"/>
    <d v="1899-12-30T04:35:37"/>
    <n v="87"/>
    <n v="0.326035781544256"/>
  </r>
  <r>
    <s v="Del_Sneh Khan (1008641)"/>
    <x v="122"/>
    <d v="1899-12-30T08:09:15"/>
    <x v="123"/>
    <d v="1899-12-30T01:09:51"/>
    <n v="88"/>
    <n v="0.57404190086867701"/>
  </r>
  <r>
    <s v="Del_Sonaram Munda (1008642)"/>
    <x v="123"/>
    <d v="1899-12-30T08:00:41"/>
    <x v="124"/>
    <d v="1899-12-30T01:57:15"/>
    <n v="89"/>
    <n v="0.45359037481363301"/>
  </r>
  <r>
    <s v="Del_Sudama Kumar (1008643)"/>
    <x v="124"/>
    <d v="1899-12-30T08:09:47"/>
    <x v="125"/>
    <d v="1899-12-30T04:36:20"/>
    <n v="90"/>
    <n v="0.29689998979140397"/>
  </r>
  <r>
    <s v="Del_Sudhir Kumar (1008644)"/>
    <x v="125"/>
    <d v="1899-12-30T08:00:18"/>
    <x v="126"/>
    <d v="1899-12-30T01:14:24"/>
    <n v="91"/>
    <n v="0.55729058227496697"/>
  </r>
  <r>
    <s v="Del_Sunil Kumar (1008646)"/>
    <x v="126"/>
    <d v="1899-12-30T08:05:06"/>
    <x v="127"/>
    <d v="1899-12-30T02:16:51"/>
    <n v="93"/>
    <n v="0.472308115165258"/>
  </r>
  <r>
    <s v="Del_Sunita Chawla (1008647)"/>
    <x v="127"/>
    <d v="1899-12-30T08:05:25"/>
    <x v="128"/>
    <d v="1899-12-30T02:06:43"/>
    <n v="94"/>
    <n v="0.51110729613733896"/>
  </r>
  <r>
    <s v="Del_Sunita Madnani (1008648)"/>
    <x v="128"/>
    <d v="1899-12-30T08:14:02"/>
    <x v="129"/>
    <d v="1899-12-30T01:08:15"/>
    <n v="95"/>
    <n v="0.58886040078267299"/>
  </r>
  <r>
    <s v="Del_Surendra Kumar (1008649)"/>
    <x v="129"/>
    <d v="1899-12-30T07:29:10"/>
    <x v="130"/>
    <d v="1899-12-30T03:46:52"/>
    <n v="96"/>
    <n v="0.34289424860853401"/>
  </r>
  <r>
    <s v="Del_Surendranath Thakur (1008650)"/>
    <x v="130"/>
    <d v="1899-12-30T08:33:53"/>
    <x v="131"/>
    <d v="1899-12-30T02:17:05"/>
    <n v="97"/>
    <n v="0.497486459313074"/>
  </r>
  <r>
    <s v="Del_Sushma Khandelwal (1008651)"/>
    <x v="131"/>
    <d v="1899-12-30T08:15:15"/>
    <x v="132"/>
    <d v="1899-12-30T01:10:21"/>
    <n v="98"/>
    <n v="0.52431431936732298"/>
  </r>
  <r>
    <s v="Del_Swarnlata Borse (1008652)"/>
    <x v="132"/>
    <d v="1899-12-30T08:19:05"/>
    <x v="133"/>
    <d v="1899-12-30T04:32:37"/>
    <n v="99"/>
    <n v="0.31066956086157999"/>
  </r>
  <r>
    <s v="Del_Syed Naved (1008653)"/>
    <x v="133"/>
    <d v="1899-12-30T08:13:39"/>
    <x v="134"/>
    <d v="1899-12-30T01:14:44"/>
    <n v="100"/>
    <n v="0.58462473412336702"/>
  </r>
  <r>
    <s v="Del_Syed Saqib (1008654)"/>
    <x v="134"/>
    <d v="1899-12-30T08:24:48"/>
    <x v="135"/>
    <d v="1899-12-30T05:03:34"/>
    <n v="101"/>
    <n v="0.31685816164817698"/>
  </r>
  <r>
    <s v="Del_Syed Sohail (1008655)"/>
    <x v="135"/>
    <d v="1899-12-30T08:17:53"/>
    <x v="136"/>
    <d v="1899-12-30T01:12:04"/>
    <n v="102"/>
    <n v="0.56375322197301903"/>
  </r>
  <r>
    <s v="Del_System Operator (1008656)"/>
    <x v="136"/>
    <d v="1899-12-30T08:30:54"/>
    <x v="137"/>
    <d v="1899-12-30T00:56:05"/>
    <n v="103"/>
    <n v="0.54779147908918902"/>
  </r>
  <r>
    <s v="Del_Tahira Qureshi (1008657)"/>
    <x v="137"/>
    <d v="1899-12-30T08:46:13"/>
    <x v="138"/>
    <d v="1899-12-30T04:02:30"/>
    <n v="104"/>
    <n v="0.37965983593576802"/>
  </r>
  <r>
    <s v="Del_Tapas Chakraborty (1008658)"/>
    <x v="138"/>
    <d v="1899-12-30T08:14:56"/>
    <x v="139"/>
    <d v="1899-12-30T01:12:11"/>
    <n v="105"/>
    <n v="0.56529498922413801"/>
  </r>
  <r>
    <s v="Del_Tariq Akhlaq (1008659)"/>
    <x v="139"/>
    <d v="1899-12-30T04:59:55"/>
    <x v="140"/>
    <d v="1899-12-30T00:15:03"/>
    <n v="106"/>
    <n v="0.60261183662128404"/>
  </r>
  <r>
    <s v="Del_Tasneem Khan (1008660)"/>
    <x v="140"/>
    <d v="1899-12-30T08:33:55"/>
    <x v="141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37E1F9-79FA-4A1E-98CD-9D72B2C87268}" name="PivotTable30" cacheId="78" applyNumberFormats="0" applyBorderFormats="0" applyFontFormats="0" applyPatternFormats="0" applyAlignmentFormats="0" applyWidthHeightFormats="1" dataCaption="Values" updatedVersion="8" minRefreshableVersion="3" rowGrandTotals="0" itemPrintTitles="1" createdVersion="8" indent="0" outline="1" outlineData="1" multipleFieldFilters="0" chartFormat="48">
  <location ref="G3:H9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4" showAll="0"/>
    <pivotField showAll="0">
      <items count="143">
        <item x="90"/>
        <item x="85"/>
        <item x="91"/>
        <item x="93"/>
        <item x="100"/>
        <item x="125"/>
        <item x="135"/>
        <item x="97"/>
        <item x="122"/>
        <item x="74"/>
        <item x="130"/>
        <item x="133"/>
        <item x="73"/>
        <item x="140"/>
        <item x="55"/>
        <item x="46"/>
        <item x="61"/>
        <item x="4"/>
        <item x="39"/>
        <item x="88"/>
        <item x="114"/>
        <item x="115"/>
        <item x="138"/>
        <item x="57"/>
        <item x="77"/>
        <item x="117"/>
        <item x="5"/>
        <item x="119"/>
        <item x="11"/>
        <item x="60"/>
        <item x="38"/>
        <item x="59"/>
        <item x="84"/>
        <item x="69"/>
        <item x="70"/>
        <item x="127"/>
        <item x="32"/>
        <item x="56"/>
        <item x="102"/>
        <item x="76"/>
        <item x="19"/>
        <item x="15"/>
        <item x="124"/>
        <item x="25"/>
        <item x="120"/>
        <item x="6"/>
        <item x="42"/>
        <item x="20"/>
        <item x="58"/>
        <item x="94"/>
        <item x="3"/>
        <item x="98"/>
        <item x="99"/>
        <item x="51"/>
        <item x="68"/>
        <item x="71"/>
        <item x="82"/>
        <item x="52"/>
        <item x="53"/>
        <item x="112"/>
        <item x="128"/>
        <item x="31"/>
        <item x="111"/>
        <item x="26"/>
        <item x="126"/>
        <item x="64"/>
        <item x="131"/>
        <item x="106"/>
        <item x="141"/>
        <item x="96"/>
        <item x="47"/>
        <item x="13"/>
        <item x="45"/>
        <item x="62"/>
        <item x="12"/>
        <item x="65"/>
        <item x="110"/>
        <item x="89"/>
        <item x="67"/>
        <item x="44"/>
        <item x="48"/>
        <item x="95"/>
        <item x="2"/>
        <item x="87"/>
        <item x="132"/>
        <item x="49"/>
        <item x="33"/>
        <item x="113"/>
        <item x="136"/>
        <item x="104"/>
        <item x="101"/>
        <item x="8"/>
        <item x="92"/>
        <item x="17"/>
        <item x="63"/>
        <item x="121"/>
        <item x="10"/>
        <item x="34"/>
        <item x="23"/>
        <item x="35"/>
        <item x="14"/>
        <item x="0"/>
        <item x="9"/>
        <item x="83"/>
        <item x="16"/>
        <item x="37"/>
        <item x="1"/>
        <item x="66"/>
        <item x="29"/>
        <item x="18"/>
        <item x="107"/>
        <item x="105"/>
        <item x="30"/>
        <item x="80"/>
        <item x="50"/>
        <item x="54"/>
        <item x="28"/>
        <item x="22"/>
        <item x="81"/>
        <item x="108"/>
        <item x="24"/>
        <item x="123"/>
        <item x="79"/>
        <item x="43"/>
        <item x="118"/>
        <item x="75"/>
        <item x="72"/>
        <item x="86"/>
        <item x="27"/>
        <item x="139"/>
        <item x="137"/>
        <item x="78"/>
        <item x="40"/>
        <item x="116"/>
        <item x="129"/>
        <item x="109"/>
        <item x="134"/>
        <item x="36"/>
        <item x="41"/>
        <item x="21"/>
        <item x="103"/>
        <item x="7"/>
        <item t="default"/>
      </items>
    </pivotField>
    <pivotField numFmtId="164" showAll="0"/>
    <pivotField showAll="0"/>
    <pivotField dataField="1" numFmtId="9" showAll="0"/>
  </pivotFields>
  <rowFields count="1">
    <field x="1"/>
  </rowFields>
  <rowItems count="6">
    <i>
      <x v="5"/>
    </i>
    <i>
      <x v="22"/>
    </i>
    <i>
      <x v="39"/>
    </i>
    <i>
      <x v="41"/>
    </i>
    <i>
      <x v="52"/>
    </i>
    <i>
      <x v="85"/>
    </i>
  </rowItems>
  <colItems count="1">
    <i/>
  </colItems>
  <dataFields count="1">
    <dataField name="Sum of Active With Cust." fld="6" baseField="0" baseItem="0" numFmtId="9"/>
  </dataFields>
  <formats count="5">
    <format dxfId="14">
      <pivotArea type="all" dataOnly="0" outline="0" fieldPosition="0"/>
    </format>
    <format dxfId="13">
      <pivotArea outline="0" collapsedLevelsAreSubtotals="1" fieldPosition="0"/>
    </format>
    <format dxfId="12">
      <pivotArea field="1" type="button" dataOnly="0" labelOnly="1" outline="0" axis="axisRow" fieldPosition="0"/>
    </format>
    <format dxfId="11">
      <pivotArea dataOnly="0" labelOnly="1" fieldPosition="0">
        <references count="1">
          <reference field="1" count="5">
            <x v="5"/>
            <x v="22"/>
            <x v="41"/>
            <x v="52"/>
            <x v="85"/>
          </reference>
        </references>
      </pivotArea>
    </format>
    <format dxfId="10">
      <pivotArea dataOnly="0" labelOnly="1" outline="0" axis="axisValues" fieldPosition="0"/>
    </format>
  </formats>
  <chartFormats count="2">
    <chartFormat chart="3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86" iMeasureFld="0">
      <autoFilter ref="A1">
        <filterColumn colId="0">
          <top10 val="6" filterVal="6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8F0389-9E81-4BB3-8E00-39FB94A41E39}" name="PivotTable29" cacheId="78" applyNumberFormats="0" applyBorderFormats="0" applyFontFormats="0" applyPatternFormats="0" applyAlignmentFormats="0" applyWidthHeightFormats="1" dataCaption="Values" updatedVersion="8" minRefreshableVersion="3" rowGrandTotals="0" itemPrintTitles="1" createdVersion="8" indent="0" outline="1" outlineData="1" multipleFieldFilters="0" chartFormat="34">
  <location ref="D3:E9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4" showAll="0"/>
    <pivotField dataField="1" showAll="0">
      <items count="143">
        <item x="90"/>
        <item x="85"/>
        <item x="91"/>
        <item x="93"/>
        <item x="100"/>
        <item x="125"/>
        <item x="135"/>
        <item x="97"/>
        <item x="122"/>
        <item x="74"/>
        <item x="130"/>
        <item x="133"/>
        <item x="73"/>
        <item x="140"/>
        <item x="55"/>
        <item x="46"/>
        <item x="61"/>
        <item x="4"/>
        <item x="39"/>
        <item x="88"/>
        <item x="114"/>
        <item x="115"/>
        <item x="138"/>
        <item x="57"/>
        <item x="77"/>
        <item x="117"/>
        <item x="5"/>
        <item x="119"/>
        <item x="11"/>
        <item x="60"/>
        <item x="38"/>
        <item x="59"/>
        <item x="84"/>
        <item x="69"/>
        <item x="70"/>
        <item x="127"/>
        <item x="32"/>
        <item x="56"/>
        <item x="102"/>
        <item x="76"/>
        <item x="19"/>
        <item x="15"/>
        <item x="124"/>
        <item x="25"/>
        <item x="120"/>
        <item x="6"/>
        <item x="42"/>
        <item x="20"/>
        <item x="58"/>
        <item x="94"/>
        <item x="3"/>
        <item x="98"/>
        <item x="99"/>
        <item x="51"/>
        <item x="68"/>
        <item x="71"/>
        <item x="82"/>
        <item x="52"/>
        <item x="53"/>
        <item x="112"/>
        <item x="128"/>
        <item x="31"/>
        <item x="111"/>
        <item x="26"/>
        <item x="126"/>
        <item x="64"/>
        <item x="131"/>
        <item x="106"/>
        <item x="141"/>
        <item x="96"/>
        <item x="47"/>
        <item x="13"/>
        <item x="45"/>
        <item x="62"/>
        <item x="12"/>
        <item x="65"/>
        <item x="110"/>
        <item x="89"/>
        <item x="67"/>
        <item x="44"/>
        <item x="48"/>
        <item x="95"/>
        <item x="2"/>
        <item x="87"/>
        <item x="132"/>
        <item x="49"/>
        <item x="33"/>
        <item x="113"/>
        <item x="136"/>
        <item x="104"/>
        <item x="101"/>
        <item x="8"/>
        <item x="92"/>
        <item x="17"/>
        <item x="63"/>
        <item x="121"/>
        <item x="10"/>
        <item x="34"/>
        <item x="23"/>
        <item x="35"/>
        <item x="14"/>
        <item x="0"/>
        <item x="9"/>
        <item x="83"/>
        <item x="16"/>
        <item x="37"/>
        <item x="1"/>
        <item x="66"/>
        <item x="29"/>
        <item x="18"/>
        <item x="107"/>
        <item x="105"/>
        <item x="30"/>
        <item x="80"/>
        <item x="50"/>
        <item x="54"/>
        <item x="28"/>
        <item x="22"/>
        <item x="81"/>
        <item x="108"/>
        <item x="24"/>
        <item x="123"/>
        <item x="79"/>
        <item x="43"/>
        <item x="118"/>
        <item x="75"/>
        <item x="72"/>
        <item x="86"/>
        <item x="27"/>
        <item x="139"/>
        <item x="137"/>
        <item x="78"/>
        <item x="40"/>
        <item x="116"/>
        <item x="129"/>
        <item x="109"/>
        <item x="134"/>
        <item x="36"/>
        <item x="41"/>
        <item x="21"/>
        <item x="103"/>
        <item x="7"/>
        <item t="default"/>
      </items>
    </pivotField>
    <pivotField numFmtId="164" showAll="0"/>
    <pivotField showAll="0"/>
    <pivotField numFmtId="9" showAll="0"/>
  </pivotFields>
  <rowFields count="1">
    <field x="1"/>
  </rowFields>
  <rowItems count="6">
    <i>
      <x v="7"/>
    </i>
    <i>
      <x v="21"/>
    </i>
    <i>
      <x v="41"/>
    </i>
    <i>
      <x v="52"/>
    </i>
    <i>
      <x v="85"/>
    </i>
    <i>
      <x v="102"/>
    </i>
  </rowItems>
  <colItems count="1">
    <i/>
  </colItems>
  <dataFields count="1">
    <dataField name="Sum of Work Efficiency " fld="3" baseField="1" baseItem="0" numFmtId="164"/>
  </dataFields>
  <formats count="5">
    <format dxfId="9">
      <pivotArea type="all" dataOnly="0" outline="0" fieldPosition="0"/>
    </format>
    <format dxfId="8">
      <pivotArea outline="0" collapsedLevelsAreSubtotals="1" fieldPosition="0"/>
    </format>
    <format dxfId="7">
      <pivotArea field="1" type="button" dataOnly="0" labelOnly="1" outline="0" axis="axisRow" fieldPosition="0"/>
    </format>
    <format dxfId="6">
      <pivotArea dataOnly="0" labelOnly="1" fieldPosition="0">
        <references count="1">
          <reference field="1" count="5">
            <x v="7"/>
            <x v="21"/>
            <x v="52"/>
            <x v="85"/>
            <x v="102"/>
          </reference>
        </references>
      </pivotArea>
    </format>
    <format dxfId="5">
      <pivotArea dataOnly="0" labelOnly="1" outline="0" axis="axisValues" fieldPosition="0"/>
    </format>
  </formats>
  <chartFormats count="1">
    <chartFormat chart="2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01" iMeasureFld="0">
      <autoFilter ref="A1">
        <filterColumn colId="0">
          <top10 val="6" filterVal="6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BAFA8-7838-45D9-9840-96A9F6556130}" name="PivotTable19" cacheId="78" applyNumberFormats="0" applyBorderFormats="0" applyFontFormats="0" applyPatternFormats="0" applyAlignmentFormats="0" applyWidthHeightFormats="1" dataCaption="Values" updatedVersion="8" minRefreshableVersion="3" rowGrandTotals="0" itemPrintTitles="1" createdVersion="8" indent="0" outline="1" outlineData="1" multipleFieldFilters="0" chartFormat="25">
  <location ref="A3:B9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4" showAll="0"/>
    <pivotField showAll="0"/>
    <pivotField numFmtId="164" showAll="0"/>
    <pivotField showAll="0"/>
    <pivotField numFmtId="9" showAll="0"/>
  </pivotFields>
  <rowFields count="1">
    <field x="1"/>
  </rowFields>
  <rowItems count="6">
    <i>
      <x v="7"/>
    </i>
    <i>
      <x v="52"/>
    </i>
    <i>
      <x v="85"/>
    </i>
    <i>
      <x v="117"/>
    </i>
    <i>
      <x v="137"/>
    </i>
    <i>
      <x v="140"/>
    </i>
  </rowItems>
  <colItems count="1">
    <i/>
  </colItems>
  <dataFields count="1">
    <dataField name="Number of woking hours" fld="2" baseField="1" baseItem="0" numFmtId="164"/>
  </dataFields>
  <formats count="5">
    <format dxfId="4">
      <pivotArea type="all" dataOnly="0" outline="0" fieldPosition="0"/>
    </format>
    <format dxfId="3">
      <pivotArea outline="0" collapsedLevelsAreSubtotals="1" fieldPosition="0"/>
    </format>
    <format dxfId="2">
      <pivotArea field="1" type="button" dataOnly="0" labelOnly="1" outline="0" axis="axisRow" fieldPosition="0"/>
    </format>
    <format dxfId="1">
      <pivotArea dataOnly="0" labelOnly="1" fieldPosition="0">
        <references count="1">
          <reference field="1" count="5">
            <x v="7"/>
            <x v="52"/>
            <x v="85"/>
            <x v="117"/>
            <x v="137"/>
          </reference>
        </references>
      </pivotArea>
    </format>
    <format dxfId="0">
      <pivotArea dataOnly="0" labelOnly="1" outline="0" axis="axisValues" fieldPosition="0"/>
    </format>
  </formats>
  <chartFormats count="1">
    <chartFormat chart="2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49" iMeasureFld="0">
      <autoFilter ref="A1">
        <filterColumn colId="0">
          <top10 val="6" filterVal="6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855619-6E8B-4653-B5EF-066AA136303C}" name="PivotTable20" cacheId="7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A3:B9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4" showAll="0"/>
    <pivotField dataField="1" showAll="0"/>
    <pivotField numFmtId="164" showAll="0"/>
    <pivotField showAll="0"/>
    <pivotField numFmtId="9" showAll="0"/>
  </pivotFields>
  <rowFields count="1">
    <field x="1"/>
  </rowFields>
  <rowItems count="6">
    <i>
      <x v="7"/>
    </i>
    <i>
      <x v="21"/>
    </i>
    <i>
      <x v="52"/>
    </i>
    <i>
      <x v="85"/>
    </i>
    <i>
      <x v="102"/>
    </i>
    <i t="grand">
      <x/>
    </i>
  </rowItems>
  <colItems count="1">
    <i/>
  </colItems>
  <dataFields count="1">
    <dataField name="Sum of Work Efficiency " fld="3" baseField="1" baseItem="1" numFmtId="164"/>
  </dataFields>
  <formats count="2">
    <format dxfId="16">
      <pivotArea field="1" type="button" dataOnly="0" labelOnly="1" outline="0" axis="axisRow" fieldPosition="0"/>
    </format>
    <format dxfId="15">
      <pivotArea outline="0" fieldPosition="0">
        <references count="1">
          <reference field="4294967294" count="1">
            <x v="0"/>
          </reference>
        </references>
      </pivotArea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1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5DC4E9-81C8-4245-8074-E3DDDF69A605}" name="PivotTable21" cacheId="7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A3:B9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4" showAll="0"/>
    <pivotField showAll="0"/>
    <pivotField numFmtId="164" showAll="0"/>
    <pivotField showAll="0"/>
    <pivotField dataField="1" numFmtId="9" showAll="0"/>
  </pivotFields>
  <rowFields count="1">
    <field x="1"/>
  </rowFields>
  <rowItems count="6">
    <i>
      <x v="5"/>
    </i>
    <i>
      <x v="22"/>
    </i>
    <i>
      <x v="41"/>
    </i>
    <i>
      <x v="52"/>
    </i>
    <i>
      <x v="85"/>
    </i>
    <i t="grand">
      <x/>
    </i>
  </rowItems>
  <colItems count="1">
    <i/>
  </colItems>
  <dataFields count="1">
    <dataField name="Sum of Active With Cust." fld="6" baseField="0" baseItem="0" numFmtId="9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B5C187-1A00-49B9-896D-19CA1A99F105}" name="PivotTable22" cacheId="7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A3:B9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4" showAll="0"/>
    <pivotField showAll="0"/>
    <pivotField numFmtId="164" showAll="0"/>
    <pivotField dataField="1" showAll="0"/>
    <pivotField numFmtId="9" showAll="0"/>
  </pivotFields>
  <rowFields count="1">
    <field x="1"/>
  </rowFields>
  <rowItems count="6">
    <i>
      <x v="136"/>
    </i>
    <i>
      <x v="137"/>
    </i>
    <i>
      <x v="138"/>
    </i>
    <i>
      <x v="139"/>
    </i>
    <i>
      <x v="140"/>
    </i>
    <i t="grand">
      <x/>
    </i>
  </rowItems>
  <colItems count="1">
    <i/>
  </colItems>
  <dataFields count="1">
    <dataField name="Sum of Attended Calls" fld="5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39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38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37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13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9BE7F-783B-4225-B619-1409C6911C50}">
  <sheetPr codeName="Sheet4"/>
  <dimension ref="A1:T144"/>
  <sheetViews>
    <sheetView showGridLines="0" tabSelected="1" zoomScale="83" workbookViewId="0">
      <selection activeCell="M5" sqref="M5"/>
    </sheetView>
  </sheetViews>
  <sheetFormatPr defaultRowHeight="14.5" x14ac:dyDescent="0.35"/>
  <cols>
    <col min="1" max="1" width="13.1796875" style="19" bestFit="1" customWidth="1"/>
    <col min="2" max="2" width="21.81640625" style="19" bestFit="1" customWidth="1"/>
    <col min="3" max="3" width="8.7265625" style="19"/>
    <col min="4" max="4" width="12.6328125" style="19" bestFit="1" customWidth="1"/>
    <col min="5" max="5" width="21.81640625" style="19" bestFit="1" customWidth="1"/>
    <col min="6" max="6" width="8.7265625" style="19"/>
    <col min="7" max="7" width="12.90625" style="19" bestFit="1" customWidth="1"/>
    <col min="8" max="8" width="21" style="19" customWidth="1"/>
    <col min="9" max="16384" width="8.7265625" style="19"/>
  </cols>
  <sheetData>
    <row r="1" spans="1:20" ht="38.5" customHeight="1" x14ac:dyDescent="0.35"/>
    <row r="2" spans="1:20" ht="27.5" customHeight="1" x14ac:dyDescent="0.35"/>
    <row r="3" spans="1:20" x14ac:dyDescent="0.35">
      <c r="A3" s="15" t="s">
        <v>6</v>
      </c>
      <c r="B3" s="15" t="s">
        <v>296</v>
      </c>
      <c r="C3" s="15"/>
      <c r="D3" s="15" t="s">
        <v>6</v>
      </c>
      <c r="E3" s="15" t="s">
        <v>9</v>
      </c>
      <c r="F3" s="15"/>
      <c r="G3" s="15" t="s">
        <v>6</v>
      </c>
      <c r="H3" s="15" t="s">
        <v>7</v>
      </c>
      <c r="I3" s="15"/>
      <c r="J3" s="15"/>
      <c r="K3" s="15"/>
      <c r="L3" s="15"/>
      <c r="M3" s="15"/>
      <c r="N3" s="15"/>
      <c r="O3" s="15"/>
      <c r="P3" s="15"/>
      <c r="Q3" s="15"/>
      <c r="R3" s="15"/>
      <c r="T3" s="20">
        <v>6</v>
      </c>
    </row>
    <row r="4" spans="1:20" x14ac:dyDescent="0.35">
      <c r="A4" s="16" t="s">
        <v>10</v>
      </c>
      <c r="B4" s="17">
        <v>0.38646990740740739</v>
      </c>
      <c r="C4" s="15"/>
      <c r="D4" s="16" t="s">
        <v>10</v>
      </c>
      <c r="E4" s="17">
        <v>0.24453703703703702</v>
      </c>
      <c r="F4" s="15"/>
      <c r="G4" s="16" t="s">
        <v>11</v>
      </c>
      <c r="H4" s="18">
        <v>0.65495030262646503</v>
      </c>
      <c r="I4" s="15"/>
      <c r="J4" s="15"/>
      <c r="K4" s="15"/>
      <c r="L4" s="15"/>
      <c r="M4" s="15"/>
      <c r="N4" s="15"/>
      <c r="O4" s="15"/>
      <c r="P4" s="15"/>
      <c r="Q4" s="15"/>
      <c r="R4" s="15"/>
      <c r="T4" s="20">
        <v>6</v>
      </c>
    </row>
    <row r="5" spans="1:20" x14ac:dyDescent="0.35">
      <c r="A5" s="16" t="s">
        <v>13</v>
      </c>
      <c r="B5" s="17">
        <v>0.66396990740740747</v>
      </c>
      <c r="C5" s="15"/>
      <c r="D5" s="16" t="s">
        <v>41</v>
      </c>
      <c r="E5" s="17">
        <v>0.22703703703703704</v>
      </c>
      <c r="F5" s="15"/>
      <c r="G5" s="16" t="s">
        <v>14</v>
      </c>
      <c r="H5" s="18">
        <v>0.65029060203969702</v>
      </c>
      <c r="I5" s="15"/>
      <c r="J5" s="15"/>
      <c r="K5" s="15"/>
      <c r="L5" s="15"/>
      <c r="M5" s="15"/>
      <c r="N5" s="15"/>
      <c r="O5" s="15"/>
      <c r="P5" s="15"/>
      <c r="Q5" s="15"/>
      <c r="R5" s="15"/>
      <c r="T5" s="20">
        <v>6</v>
      </c>
    </row>
    <row r="6" spans="1:20" x14ac:dyDescent="0.35">
      <c r="A6" s="16" t="s">
        <v>16</v>
      </c>
      <c r="B6" s="17">
        <v>0.67937500000000006</v>
      </c>
      <c r="C6" s="15"/>
      <c r="D6" s="16" t="s">
        <v>60</v>
      </c>
      <c r="E6" s="17">
        <v>0.22660879629629629</v>
      </c>
      <c r="F6" s="15"/>
      <c r="G6" s="16" t="s">
        <v>58</v>
      </c>
      <c r="H6" s="18">
        <v>0.64380836602751801</v>
      </c>
      <c r="I6" s="15"/>
      <c r="J6" s="15"/>
      <c r="K6" s="15"/>
      <c r="L6" s="15"/>
      <c r="M6" s="15"/>
      <c r="N6" s="15"/>
      <c r="O6" s="15"/>
      <c r="P6" s="15"/>
      <c r="Q6" s="15"/>
      <c r="R6" s="15"/>
    </row>
    <row r="7" spans="1:20" x14ac:dyDescent="0.35">
      <c r="A7" s="16" t="s">
        <v>18</v>
      </c>
      <c r="B7" s="17">
        <v>0.36775462962962963</v>
      </c>
      <c r="C7" s="15"/>
      <c r="D7" s="16" t="s">
        <v>13</v>
      </c>
      <c r="E7" s="17">
        <v>0.37417824074074074</v>
      </c>
      <c r="F7" s="15"/>
      <c r="G7" s="16" t="s">
        <v>60</v>
      </c>
      <c r="H7" s="18">
        <v>0.64717479317021698</v>
      </c>
      <c r="I7" s="15"/>
      <c r="J7" s="15"/>
      <c r="K7" s="15"/>
      <c r="L7" s="15"/>
      <c r="M7" s="15"/>
      <c r="N7" s="15"/>
      <c r="O7" s="15"/>
      <c r="P7" s="15"/>
      <c r="Q7" s="15"/>
      <c r="R7" s="15"/>
    </row>
    <row r="8" spans="1:20" x14ac:dyDescent="0.35">
      <c r="A8" s="16" t="s">
        <v>15</v>
      </c>
      <c r="B8" s="17">
        <v>0.36542824074074076</v>
      </c>
      <c r="C8" s="15"/>
      <c r="D8" s="16" t="s">
        <v>16</v>
      </c>
      <c r="E8" s="17">
        <v>0.41770833333333335</v>
      </c>
      <c r="F8" s="15"/>
      <c r="G8" s="16" t="s">
        <v>13</v>
      </c>
      <c r="H8" s="18">
        <v>1.064298009533315</v>
      </c>
      <c r="I8" s="15"/>
      <c r="J8" s="15"/>
      <c r="K8" s="15"/>
      <c r="L8" s="15"/>
      <c r="M8" s="15"/>
      <c r="N8" s="15"/>
      <c r="O8" s="15"/>
      <c r="P8" s="15"/>
      <c r="Q8" s="15"/>
      <c r="R8" s="15"/>
    </row>
    <row r="9" spans="1:20" x14ac:dyDescent="0.35">
      <c r="A9" s="16" t="s">
        <v>21</v>
      </c>
      <c r="B9" s="17">
        <v>0.35688657407407409</v>
      </c>
      <c r="C9" s="15"/>
      <c r="D9" s="16" t="s">
        <v>20</v>
      </c>
      <c r="E9" s="17">
        <v>0.2330787037037037</v>
      </c>
      <c r="F9" s="15"/>
      <c r="G9" s="16" t="s">
        <v>16</v>
      </c>
      <c r="H9" s="18">
        <v>1.122824596941316</v>
      </c>
      <c r="I9" s="15"/>
      <c r="J9" s="15"/>
      <c r="K9" s="15"/>
      <c r="L9" s="15"/>
      <c r="M9" s="15"/>
      <c r="N9" s="15"/>
      <c r="O9" s="15"/>
      <c r="P9" s="15"/>
      <c r="Q9" s="15"/>
      <c r="R9" s="15"/>
    </row>
    <row r="10" spans="1:20" x14ac:dyDescent="0.35">
      <c r="A10"/>
      <c r="B10"/>
      <c r="D10"/>
      <c r="E10"/>
      <c r="G10"/>
      <c r="H10"/>
      <c r="M10" s="15"/>
      <c r="N10" s="15"/>
      <c r="O10" s="15"/>
      <c r="P10" s="15"/>
      <c r="Q10" s="15"/>
      <c r="R10" s="15"/>
    </row>
    <row r="11" spans="1:20" x14ac:dyDescent="0.35">
      <c r="A11"/>
      <c r="B11"/>
      <c r="D11"/>
      <c r="E11"/>
      <c r="G11"/>
      <c r="H11"/>
      <c r="M11" s="15"/>
      <c r="N11" s="15"/>
      <c r="O11" s="15"/>
      <c r="P11" s="15"/>
      <c r="Q11" s="15"/>
      <c r="R11" s="15"/>
    </row>
    <row r="12" spans="1:20" x14ac:dyDescent="0.35">
      <c r="A12"/>
      <c r="B12"/>
      <c r="D12"/>
      <c r="E12"/>
      <c r="G12"/>
      <c r="H12"/>
      <c r="M12" s="15"/>
      <c r="N12" s="15"/>
      <c r="O12" s="15"/>
      <c r="P12" s="15"/>
      <c r="Q12" s="15"/>
      <c r="R12" s="15"/>
    </row>
    <row r="13" spans="1:20" x14ac:dyDescent="0.35">
      <c r="A13"/>
      <c r="B13"/>
      <c r="D13"/>
      <c r="E13"/>
      <c r="G13"/>
      <c r="H13"/>
      <c r="M13" s="15"/>
      <c r="N13" s="15"/>
      <c r="O13" s="15"/>
      <c r="P13" s="15"/>
      <c r="Q13" s="15"/>
      <c r="R13" s="15"/>
    </row>
    <row r="14" spans="1:20" x14ac:dyDescent="0.35">
      <c r="A14"/>
      <c r="B14"/>
      <c r="D14"/>
      <c r="E14"/>
      <c r="G14"/>
      <c r="H14"/>
      <c r="M14" s="15"/>
      <c r="N14" s="15"/>
      <c r="O14" s="15"/>
      <c r="P14" s="15"/>
      <c r="Q14" s="15"/>
      <c r="R14" s="15"/>
    </row>
    <row r="15" spans="1:20" x14ac:dyDescent="0.35">
      <c r="A15"/>
      <c r="B15"/>
      <c r="D15"/>
      <c r="E15"/>
      <c r="G15"/>
      <c r="H15"/>
      <c r="M15" s="15"/>
      <c r="N15" s="15"/>
      <c r="O15" s="15"/>
      <c r="P15" s="15"/>
      <c r="Q15" s="15"/>
      <c r="R15" s="15"/>
    </row>
    <row r="16" spans="1:20" x14ac:dyDescent="0.35">
      <c r="A16"/>
      <c r="B16"/>
      <c r="D16"/>
      <c r="E16"/>
      <c r="G16"/>
      <c r="H16"/>
      <c r="M16" s="15"/>
      <c r="N16" s="15"/>
      <c r="O16" s="15"/>
      <c r="P16" s="15"/>
      <c r="Q16" s="15"/>
      <c r="R16" s="15"/>
    </row>
    <row r="17" spans="1:18" x14ac:dyDescent="0.35">
      <c r="A17"/>
      <c r="B17"/>
      <c r="D17"/>
      <c r="E17"/>
      <c r="G17"/>
      <c r="H17"/>
      <c r="M17" s="15"/>
      <c r="N17" s="15"/>
      <c r="O17" s="15"/>
      <c r="P17" s="15"/>
      <c r="Q17" s="15"/>
      <c r="R17" s="15"/>
    </row>
    <row r="18" spans="1:18" x14ac:dyDescent="0.35">
      <c r="A18"/>
      <c r="B18"/>
      <c r="D18"/>
      <c r="E18"/>
      <c r="G18"/>
      <c r="H18"/>
      <c r="M18" s="15"/>
      <c r="N18" s="15"/>
      <c r="O18" s="15"/>
      <c r="P18" s="15"/>
      <c r="Q18" s="15"/>
      <c r="R18" s="15"/>
    </row>
    <row r="19" spans="1:18" x14ac:dyDescent="0.35">
      <c r="A19"/>
      <c r="B19"/>
      <c r="D19"/>
      <c r="E19"/>
      <c r="G19"/>
      <c r="H19"/>
      <c r="M19" s="15"/>
      <c r="N19" s="15"/>
      <c r="O19" s="15"/>
      <c r="P19" s="15"/>
      <c r="Q19" s="15"/>
      <c r="R19" s="15"/>
    </row>
    <row r="20" spans="1:18" x14ac:dyDescent="0.35">
      <c r="A20"/>
      <c r="B20"/>
      <c r="D20"/>
      <c r="E20"/>
      <c r="G20"/>
      <c r="H20"/>
      <c r="M20" s="15"/>
      <c r="N20" s="15"/>
      <c r="O20" s="15"/>
      <c r="P20" s="15"/>
      <c r="Q20" s="15"/>
      <c r="R20" s="15"/>
    </row>
    <row r="21" spans="1:18" x14ac:dyDescent="0.35">
      <c r="A21"/>
      <c r="B21"/>
      <c r="D21"/>
      <c r="E21"/>
      <c r="G21"/>
      <c r="H21"/>
      <c r="M21" s="15"/>
      <c r="N21" s="15"/>
      <c r="O21" s="15"/>
      <c r="P21" s="15"/>
      <c r="Q21" s="15"/>
      <c r="R21" s="15"/>
    </row>
    <row r="22" spans="1:18" x14ac:dyDescent="0.35">
      <c r="A22"/>
      <c r="B22"/>
      <c r="D22"/>
      <c r="E22"/>
      <c r="G22"/>
      <c r="H22"/>
      <c r="M22" s="15"/>
      <c r="N22" s="15"/>
      <c r="O22" s="15"/>
      <c r="P22" s="15"/>
      <c r="Q22" s="15"/>
      <c r="R22" s="15"/>
    </row>
    <row r="23" spans="1:18" x14ac:dyDescent="0.35">
      <c r="A23"/>
      <c r="B23"/>
      <c r="D23"/>
      <c r="E23"/>
      <c r="G23"/>
      <c r="H23"/>
    </row>
    <row r="24" spans="1:18" x14ac:dyDescent="0.35">
      <c r="A24"/>
      <c r="B24"/>
      <c r="D24"/>
      <c r="E24"/>
      <c r="G24"/>
      <c r="H24"/>
    </row>
    <row r="25" spans="1:18" x14ac:dyDescent="0.35">
      <c r="A25"/>
      <c r="B25"/>
      <c r="D25"/>
      <c r="E25"/>
      <c r="G25"/>
      <c r="H25"/>
    </row>
    <row r="26" spans="1:18" x14ac:dyDescent="0.35">
      <c r="A26"/>
      <c r="B26"/>
      <c r="D26"/>
      <c r="E26"/>
      <c r="G26"/>
      <c r="H26"/>
    </row>
    <row r="27" spans="1:18" x14ac:dyDescent="0.35">
      <c r="A27"/>
      <c r="B27"/>
      <c r="D27"/>
      <c r="E27"/>
      <c r="G27"/>
      <c r="H27"/>
    </row>
    <row r="28" spans="1:18" x14ac:dyDescent="0.35">
      <c r="A28"/>
      <c r="B28"/>
      <c r="D28"/>
      <c r="E28"/>
      <c r="G28"/>
      <c r="H28"/>
    </row>
    <row r="29" spans="1:18" x14ac:dyDescent="0.35">
      <c r="A29"/>
      <c r="B29"/>
      <c r="D29"/>
      <c r="E29"/>
      <c r="G29"/>
      <c r="H29"/>
    </row>
    <row r="30" spans="1:18" x14ac:dyDescent="0.35">
      <c r="A30"/>
      <c r="B30"/>
      <c r="D30"/>
      <c r="E30"/>
      <c r="G30"/>
      <c r="H30"/>
    </row>
    <row r="31" spans="1:18" x14ac:dyDescent="0.35">
      <c r="A31"/>
      <c r="B31"/>
      <c r="D31"/>
      <c r="E31"/>
      <c r="G31"/>
      <c r="H31"/>
    </row>
    <row r="32" spans="1:18" x14ac:dyDescent="0.35">
      <c r="A32"/>
      <c r="B32"/>
      <c r="D32"/>
      <c r="E32"/>
      <c r="G32"/>
      <c r="H32"/>
    </row>
    <row r="33" spans="1:8" x14ac:dyDescent="0.35">
      <c r="A33"/>
      <c r="B33"/>
      <c r="D33"/>
      <c r="E33"/>
      <c r="G33"/>
      <c r="H33"/>
    </row>
    <row r="34" spans="1:8" x14ac:dyDescent="0.35">
      <c r="A34"/>
      <c r="B34"/>
      <c r="D34"/>
      <c r="E34"/>
      <c r="G34"/>
      <c r="H34"/>
    </row>
    <row r="35" spans="1:8" x14ac:dyDescent="0.35">
      <c r="A35"/>
      <c r="B35"/>
      <c r="D35"/>
      <c r="E35"/>
      <c r="G35"/>
      <c r="H35"/>
    </row>
    <row r="36" spans="1:8" x14ac:dyDescent="0.35">
      <c r="A36"/>
      <c r="B36"/>
      <c r="D36"/>
      <c r="E36"/>
      <c r="G36"/>
      <c r="H36"/>
    </row>
    <row r="37" spans="1:8" x14ac:dyDescent="0.35">
      <c r="A37"/>
      <c r="B37"/>
      <c r="D37"/>
      <c r="E37"/>
      <c r="G37"/>
      <c r="H37"/>
    </row>
    <row r="38" spans="1:8" x14ac:dyDescent="0.35">
      <c r="A38"/>
      <c r="B38"/>
      <c r="D38"/>
      <c r="E38"/>
      <c r="G38"/>
      <c r="H38"/>
    </row>
    <row r="39" spans="1:8" x14ac:dyDescent="0.35">
      <c r="A39"/>
      <c r="B39"/>
      <c r="D39"/>
      <c r="E39"/>
      <c r="G39"/>
      <c r="H39"/>
    </row>
    <row r="40" spans="1:8" x14ac:dyDescent="0.35">
      <c r="A40"/>
      <c r="B40"/>
      <c r="D40"/>
      <c r="E40"/>
      <c r="G40"/>
      <c r="H40"/>
    </row>
    <row r="41" spans="1:8" x14ac:dyDescent="0.35">
      <c r="A41"/>
      <c r="B41"/>
      <c r="D41"/>
      <c r="E41"/>
      <c r="G41"/>
      <c r="H41"/>
    </row>
    <row r="42" spans="1:8" x14ac:dyDescent="0.35">
      <c r="A42"/>
      <c r="B42"/>
      <c r="D42"/>
      <c r="E42"/>
      <c r="G42"/>
      <c r="H42"/>
    </row>
    <row r="43" spans="1:8" x14ac:dyDescent="0.35">
      <c r="A43"/>
      <c r="B43"/>
      <c r="D43"/>
      <c r="E43"/>
      <c r="G43"/>
      <c r="H43"/>
    </row>
    <row r="44" spans="1:8" x14ac:dyDescent="0.35">
      <c r="A44"/>
      <c r="B44"/>
      <c r="D44"/>
      <c r="E44"/>
      <c r="G44"/>
      <c r="H44"/>
    </row>
    <row r="45" spans="1:8" x14ac:dyDescent="0.35">
      <c r="A45"/>
      <c r="B45"/>
      <c r="D45"/>
      <c r="E45"/>
      <c r="G45"/>
      <c r="H45"/>
    </row>
    <row r="46" spans="1:8" x14ac:dyDescent="0.35">
      <c r="A46"/>
      <c r="B46"/>
      <c r="D46"/>
      <c r="E46"/>
      <c r="G46"/>
      <c r="H46"/>
    </row>
    <row r="47" spans="1:8" x14ac:dyDescent="0.35">
      <c r="A47"/>
      <c r="B47"/>
      <c r="D47"/>
      <c r="E47"/>
      <c r="G47"/>
      <c r="H47"/>
    </row>
    <row r="48" spans="1:8" x14ac:dyDescent="0.35">
      <c r="A48"/>
      <c r="B48"/>
      <c r="D48"/>
      <c r="E48"/>
      <c r="G48"/>
      <c r="H48"/>
    </row>
    <row r="49" spans="1:8" x14ac:dyDescent="0.35">
      <c r="A49"/>
      <c r="B49"/>
      <c r="D49"/>
      <c r="E49"/>
      <c r="G49"/>
      <c r="H49"/>
    </row>
    <row r="50" spans="1:8" x14ac:dyDescent="0.35">
      <c r="A50"/>
      <c r="B50"/>
      <c r="D50"/>
      <c r="E50"/>
      <c r="G50"/>
      <c r="H50"/>
    </row>
    <row r="51" spans="1:8" x14ac:dyDescent="0.35">
      <c r="A51"/>
      <c r="B51"/>
      <c r="D51"/>
      <c r="E51"/>
      <c r="G51"/>
      <c r="H51"/>
    </row>
    <row r="52" spans="1:8" x14ac:dyDescent="0.35">
      <c r="A52"/>
      <c r="B52"/>
      <c r="D52"/>
      <c r="E52"/>
      <c r="G52"/>
      <c r="H52"/>
    </row>
    <row r="53" spans="1:8" x14ac:dyDescent="0.35">
      <c r="A53"/>
      <c r="B53"/>
      <c r="D53"/>
      <c r="E53"/>
      <c r="G53"/>
      <c r="H53"/>
    </row>
    <row r="54" spans="1:8" x14ac:dyDescent="0.35">
      <c r="A54"/>
      <c r="B54"/>
      <c r="D54"/>
      <c r="E54"/>
      <c r="G54"/>
      <c r="H54"/>
    </row>
    <row r="55" spans="1:8" x14ac:dyDescent="0.35">
      <c r="A55"/>
      <c r="B55"/>
      <c r="D55"/>
      <c r="E55"/>
      <c r="G55"/>
      <c r="H55"/>
    </row>
    <row r="56" spans="1:8" x14ac:dyDescent="0.35">
      <c r="A56"/>
      <c r="B56"/>
      <c r="D56"/>
      <c r="E56"/>
      <c r="G56"/>
      <c r="H56"/>
    </row>
    <row r="57" spans="1:8" x14ac:dyDescent="0.35">
      <c r="A57"/>
      <c r="B57"/>
      <c r="D57"/>
      <c r="E57"/>
      <c r="G57"/>
      <c r="H57"/>
    </row>
    <row r="58" spans="1:8" x14ac:dyDescent="0.35">
      <c r="A58"/>
      <c r="B58"/>
      <c r="D58"/>
      <c r="E58"/>
      <c r="G58"/>
      <c r="H58"/>
    </row>
    <row r="59" spans="1:8" x14ac:dyDescent="0.35">
      <c r="A59"/>
      <c r="B59"/>
      <c r="D59"/>
      <c r="E59"/>
      <c r="G59"/>
      <c r="H59"/>
    </row>
    <row r="60" spans="1:8" x14ac:dyDescent="0.35">
      <c r="A60"/>
      <c r="B60"/>
      <c r="D60"/>
      <c r="E60"/>
      <c r="G60"/>
      <c r="H60"/>
    </row>
    <row r="61" spans="1:8" x14ac:dyDescent="0.35">
      <c r="A61"/>
      <c r="B61"/>
      <c r="D61"/>
      <c r="E61"/>
      <c r="G61"/>
      <c r="H61"/>
    </row>
    <row r="62" spans="1:8" x14ac:dyDescent="0.35">
      <c r="A62"/>
      <c r="B62"/>
      <c r="D62"/>
      <c r="E62"/>
      <c r="G62"/>
      <c r="H62"/>
    </row>
    <row r="63" spans="1:8" x14ac:dyDescent="0.35">
      <c r="A63"/>
      <c r="B63"/>
      <c r="D63"/>
      <c r="E63"/>
      <c r="G63"/>
      <c r="H63"/>
    </row>
    <row r="64" spans="1:8" x14ac:dyDescent="0.35">
      <c r="A64"/>
      <c r="B64"/>
      <c r="D64"/>
      <c r="E64"/>
      <c r="G64"/>
      <c r="H64"/>
    </row>
    <row r="65" spans="1:8" x14ac:dyDescent="0.35">
      <c r="A65"/>
      <c r="B65"/>
      <c r="D65"/>
      <c r="E65"/>
      <c r="G65"/>
      <c r="H65"/>
    </row>
    <row r="66" spans="1:8" x14ac:dyDescent="0.35">
      <c r="A66"/>
      <c r="B66"/>
      <c r="D66"/>
      <c r="E66"/>
      <c r="G66"/>
      <c r="H66"/>
    </row>
    <row r="67" spans="1:8" x14ac:dyDescent="0.35">
      <c r="A67"/>
      <c r="B67"/>
      <c r="D67"/>
      <c r="E67"/>
      <c r="G67"/>
      <c r="H67"/>
    </row>
    <row r="68" spans="1:8" x14ac:dyDescent="0.35">
      <c r="A68"/>
      <c r="B68"/>
      <c r="D68"/>
      <c r="E68"/>
      <c r="G68"/>
      <c r="H68"/>
    </row>
    <row r="69" spans="1:8" x14ac:dyDescent="0.35">
      <c r="A69"/>
      <c r="B69"/>
      <c r="D69"/>
      <c r="E69"/>
      <c r="G69"/>
      <c r="H69"/>
    </row>
    <row r="70" spans="1:8" x14ac:dyDescent="0.35">
      <c r="A70"/>
      <c r="B70"/>
      <c r="D70"/>
      <c r="E70"/>
      <c r="G70"/>
      <c r="H70"/>
    </row>
    <row r="71" spans="1:8" x14ac:dyDescent="0.35">
      <c r="A71"/>
      <c r="B71"/>
      <c r="D71"/>
      <c r="E71"/>
      <c r="G71"/>
      <c r="H71"/>
    </row>
    <row r="72" spans="1:8" x14ac:dyDescent="0.35">
      <c r="A72"/>
      <c r="B72"/>
      <c r="D72"/>
      <c r="E72"/>
      <c r="G72"/>
      <c r="H72"/>
    </row>
    <row r="73" spans="1:8" x14ac:dyDescent="0.35">
      <c r="A73"/>
      <c r="B73"/>
      <c r="D73"/>
      <c r="E73"/>
      <c r="G73"/>
      <c r="H73"/>
    </row>
    <row r="74" spans="1:8" x14ac:dyDescent="0.35">
      <c r="A74"/>
      <c r="B74"/>
      <c r="D74"/>
      <c r="E74"/>
      <c r="G74"/>
      <c r="H74"/>
    </row>
    <row r="75" spans="1:8" x14ac:dyDescent="0.35">
      <c r="A75"/>
      <c r="B75"/>
      <c r="D75"/>
      <c r="E75"/>
      <c r="G75"/>
      <c r="H75"/>
    </row>
    <row r="76" spans="1:8" x14ac:dyDescent="0.35">
      <c r="A76"/>
      <c r="B76"/>
      <c r="D76"/>
      <c r="E76"/>
      <c r="G76"/>
      <c r="H76"/>
    </row>
    <row r="77" spans="1:8" x14ac:dyDescent="0.35">
      <c r="A77"/>
      <c r="B77"/>
      <c r="D77"/>
      <c r="E77"/>
      <c r="G77"/>
      <c r="H77"/>
    </row>
    <row r="78" spans="1:8" x14ac:dyDescent="0.35">
      <c r="A78"/>
      <c r="B78"/>
      <c r="D78"/>
      <c r="E78"/>
      <c r="G78"/>
      <c r="H78"/>
    </row>
    <row r="79" spans="1:8" x14ac:dyDescent="0.35">
      <c r="A79"/>
      <c r="B79"/>
      <c r="D79"/>
      <c r="E79"/>
      <c r="G79"/>
      <c r="H79"/>
    </row>
    <row r="80" spans="1:8" x14ac:dyDescent="0.35">
      <c r="A80"/>
      <c r="B80"/>
      <c r="D80"/>
      <c r="E80"/>
      <c r="G80"/>
      <c r="H80"/>
    </row>
    <row r="81" spans="1:8" x14ac:dyDescent="0.35">
      <c r="A81"/>
      <c r="B81"/>
      <c r="D81"/>
      <c r="E81"/>
      <c r="G81"/>
      <c r="H81"/>
    </row>
    <row r="82" spans="1:8" x14ac:dyDescent="0.35">
      <c r="A82"/>
      <c r="B82"/>
      <c r="D82"/>
      <c r="E82"/>
      <c r="G82"/>
      <c r="H82"/>
    </row>
    <row r="83" spans="1:8" x14ac:dyDescent="0.35">
      <c r="A83"/>
      <c r="B83"/>
      <c r="D83"/>
      <c r="E83"/>
      <c r="G83"/>
      <c r="H83"/>
    </row>
    <row r="84" spans="1:8" x14ac:dyDescent="0.35">
      <c r="A84"/>
      <c r="B84"/>
      <c r="D84"/>
      <c r="E84"/>
      <c r="G84"/>
      <c r="H84"/>
    </row>
    <row r="85" spans="1:8" x14ac:dyDescent="0.35">
      <c r="A85"/>
      <c r="B85"/>
      <c r="D85"/>
      <c r="E85"/>
      <c r="G85"/>
      <c r="H85"/>
    </row>
    <row r="86" spans="1:8" x14ac:dyDescent="0.35">
      <c r="A86"/>
      <c r="B86"/>
      <c r="D86"/>
      <c r="E86"/>
      <c r="G86"/>
      <c r="H86"/>
    </row>
    <row r="87" spans="1:8" x14ac:dyDescent="0.35">
      <c r="A87"/>
      <c r="B87"/>
      <c r="D87"/>
      <c r="E87"/>
      <c r="G87"/>
      <c r="H87"/>
    </row>
    <row r="88" spans="1:8" x14ac:dyDescent="0.35">
      <c r="A88"/>
      <c r="B88"/>
      <c r="D88"/>
      <c r="E88"/>
      <c r="G88"/>
      <c r="H88"/>
    </row>
    <row r="89" spans="1:8" x14ac:dyDescent="0.35">
      <c r="A89"/>
      <c r="B89"/>
      <c r="D89"/>
      <c r="E89"/>
      <c r="G89"/>
      <c r="H89"/>
    </row>
    <row r="90" spans="1:8" x14ac:dyDescent="0.35">
      <c r="A90"/>
      <c r="B90"/>
      <c r="D90"/>
      <c r="E90"/>
      <c r="G90"/>
      <c r="H90"/>
    </row>
    <row r="91" spans="1:8" x14ac:dyDescent="0.35">
      <c r="A91"/>
      <c r="B91"/>
      <c r="D91"/>
      <c r="E91"/>
      <c r="G91"/>
      <c r="H91"/>
    </row>
    <row r="92" spans="1:8" x14ac:dyDescent="0.35">
      <c r="A92"/>
      <c r="B92"/>
      <c r="D92"/>
      <c r="E92"/>
      <c r="G92"/>
      <c r="H92"/>
    </row>
    <row r="93" spans="1:8" x14ac:dyDescent="0.35">
      <c r="A93"/>
      <c r="B93"/>
      <c r="D93"/>
      <c r="E93"/>
      <c r="G93"/>
      <c r="H93"/>
    </row>
    <row r="94" spans="1:8" x14ac:dyDescent="0.35">
      <c r="A94"/>
      <c r="B94"/>
      <c r="D94"/>
      <c r="E94"/>
      <c r="G94"/>
      <c r="H94"/>
    </row>
    <row r="95" spans="1:8" x14ac:dyDescent="0.35">
      <c r="A95"/>
      <c r="B95"/>
      <c r="D95"/>
      <c r="E95"/>
      <c r="G95"/>
      <c r="H95"/>
    </row>
    <row r="96" spans="1:8" x14ac:dyDescent="0.35">
      <c r="A96"/>
      <c r="B96"/>
      <c r="D96"/>
      <c r="E96"/>
      <c r="G96"/>
      <c r="H96"/>
    </row>
    <row r="97" spans="1:8" x14ac:dyDescent="0.35">
      <c r="A97"/>
      <c r="B97"/>
      <c r="D97"/>
      <c r="E97"/>
      <c r="G97"/>
      <c r="H97"/>
    </row>
    <row r="98" spans="1:8" x14ac:dyDescent="0.35">
      <c r="A98"/>
      <c r="B98"/>
      <c r="D98"/>
      <c r="E98"/>
      <c r="G98"/>
      <c r="H98"/>
    </row>
    <row r="99" spans="1:8" x14ac:dyDescent="0.35">
      <c r="A99"/>
      <c r="B99"/>
      <c r="D99"/>
      <c r="E99"/>
      <c r="G99"/>
      <c r="H99"/>
    </row>
    <row r="100" spans="1:8" x14ac:dyDescent="0.35">
      <c r="A100"/>
      <c r="B100"/>
      <c r="D100"/>
      <c r="E100"/>
      <c r="G100"/>
      <c r="H100"/>
    </row>
    <row r="101" spans="1:8" x14ac:dyDescent="0.35">
      <c r="A101"/>
      <c r="B101"/>
      <c r="D101"/>
      <c r="E101"/>
      <c r="G101"/>
      <c r="H101"/>
    </row>
    <row r="102" spans="1:8" x14ac:dyDescent="0.35">
      <c r="A102"/>
      <c r="B102"/>
      <c r="D102"/>
      <c r="E102"/>
      <c r="G102"/>
      <c r="H102"/>
    </row>
    <row r="103" spans="1:8" x14ac:dyDescent="0.35">
      <c r="A103"/>
      <c r="B103"/>
      <c r="D103"/>
      <c r="E103"/>
      <c r="G103"/>
      <c r="H103"/>
    </row>
    <row r="104" spans="1:8" x14ac:dyDescent="0.35">
      <c r="A104"/>
      <c r="B104"/>
      <c r="D104"/>
      <c r="E104"/>
      <c r="G104"/>
      <c r="H104"/>
    </row>
    <row r="105" spans="1:8" x14ac:dyDescent="0.35">
      <c r="A105"/>
      <c r="B105"/>
      <c r="D105"/>
      <c r="E105"/>
      <c r="G105"/>
      <c r="H105"/>
    </row>
    <row r="106" spans="1:8" x14ac:dyDescent="0.35">
      <c r="A106"/>
      <c r="B106"/>
      <c r="D106"/>
      <c r="E106"/>
      <c r="G106"/>
      <c r="H106"/>
    </row>
    <row r="107" spans="1:8" x14ac:dyDescent="0.35">
      <c r="A107"/>
      <c r="B107"/>
      <c r="D107"/>
      <c r="E107"/>
      <c r="G107"/>
      <c r="H107"/>
    </row>
    <row r="108" spans="1:8" x14ac:dyDescent="0.35">
      <c r="A108"/>
      <c r="B108"/>
      <c r="D108"/>
      <c r="E108"/>
      <c r="G108"/>
      <c r="H108"/>
    </row>
    <row r="109" spans="1:8" x14ac:dyDescent="0.35">
      <c r="A109"/>
      <c r="B109"/>
      <c r="D109"/>
      <c r="E109"/>
      <c r="G109"/>
      <c r="H109"/>
    </row>
    <row r="110" spans="1:8" x14ac:dyDescent="0.35">
      <c r="A110"/>
      <c r="B110"/>
      <c r="D110"/>
      <c r="E110"/>
      <c r="G110"/>
      <c r="H110"/>
    </row>
    <row r="111" spans="1:8" x14ac:dyDescent="0.35">
      <c r="A111"/>
      <c r="B111"/>
      <c r="D111"/>
      <c r="E111"/>
      <c r="G111"/>
      <c r="H111"/>
    </row>
    <row r="112" spans="1:8" x14ac:dyDescent="0.35">
      <c r="A112"/>
      <c r="B112"/>
      <c r="D112"/>
      <c r="E112"/>
      <c r="G112"/>
      <c r="H112"/>
    </row>
    <row r="113" spans="1:8" x14ac:dyDescent="0.35">
      <c r="A113"/>
      <c r="B113"/>
      <c r="D113"/>
      <c r="E113"/>
      <c r="G113"/>
      <c r="H113"/>
    </row>
    <row r="114" spans="1:8" x14ac:dyDescent="0.35">
      <c r="A114"/>
      <c r="B114"/>
      <c r="D114"/>
      <c r="E114"/>
      <c r="G114"/>
      <c r="H114"/>
    </row>
    <row r="115" spans="1:8" x14ac:dyDescent="0.35">
      <c r="A115"/>
      <c r="B115"/>
      <c r="D115"/>
      <c r="E115"/>
      <c r="G115"/>
      <c r="H115"/>
    </row>
    <row r="116" spans="1:8" x14ac:dyDescent="0.35">
      <c r="A116"/>
      <c r="B116"/>
      <c r="D116"/>
      <c r="E116"/>
      <c r="G116"/>
      <c r="H116"/>
    </row>
    <row r="117" spans="1:8" x14ac:dyDescent="0.35">
      <c r="A117"/>
      <c r="B117"/>
      <c r="D117"/>
      <c r="E117"/>
      <c r="G117"/>
      <c r="H117"/>
    </row>
    <row r="118" spans="1:8" x14ac:dyDescent="0.35">
      <c r="A118"/>
      <c r="B118"/>
      <c r="D118"/>
      <c r="E118"/>
      <c r="G118"/>
      <c r="H118"/>
    </row>
    <row r="119" spans="1:8" x14ac:dyDescent="0.35">
      <c r="A119"/>
      <c r="B119"/>
      <c r="D119"/>
      <c r="E119"/>
      <c r="G119"/>
      <c r="H119"/>
    </row>
    <row r="120" spans="1:8" x14ac:dyDescent="0.35">
      <c r="A120"/>
      <c r="B120"/>
      <c r="D120"/>
      <c r="E120"/>
      <c r="G120"/>
      <c r="H120"/>
    </row>
    <row r="121" spans="1:8" x14ac:dyDescent="0.35">
      <c r="A121"/>
      <c r="B121"/>
      <c r="D121"/>
      <c r="E121"/>
      <c r="G121"/>
      <c r="H121"/>
    </row>
    <row r="122" spans="1:8" x14ac:dyDescent="0.35">
      <c r="A122"/>
      <c r="B122"/>
      <c r="D122"/>
      <c r="E122"/>
      <c r="G122"/>
      <c r="H122"/>
    </row>
    <row r="123" spans="1:8" x14ac:dyDescent="0.35">
      <c r="A123"/>
      <c r="B123"/>
      <c r="D123"/>
      <c r="E123"/>
      <c r="G123"/>
      <c r="H123"/>
    </row>
    <row r="124" spans="1:8" x14ac:dyDescent="0.35">
      <c r="A124"/>
      <c r="B124"/>
      <c r="D124"/>
      <c r="E124"/>
      <c r="G124"/>
      <c r="H124"/>
    </row>
    <row r="125" spans="1:8" x14ac:dyDescent="0.35">
      <c r="A125"/>
      <c r="B125"/>
      <c r="D125"/>
      <c r="E125"/>
      <c r="G125"/>
      <c r="H125"/>
    </row>
    <row r="126" spans="1:8" x14ac:dyDescent="0.35">
      <c r="A126"/>
      <c r="B126"/>
      <c r="D126"/>
      <c r="E126"/>
      <c r="G126"/>
      <c r="H126"/>
    </row>
    <row r="127" spans="1:8" x14ac:dyDescent="0.35">
      <c r="A127"/>
      <c r="B127"/>
      <c r="D127"/>
      <c r="E127"/>
      <c r="G127"/>
      <c r="H127"/>
    </row>
    <row r="128" spans="1:8" x14ac:dyDescent="0.35">
      <c r="A128"/>
      <c r="B128"/>
      <c r="D128"/>
      <c r="E128"/>
      <c r="G128"/>
      <c r="H128"/>
    </row>
    <row r="129" spans="1:8" x14ac:dyDescent="0.35">
      <c r="A129"/>
      <c r="B129"/>
      <c r="D129"/>
      <c r="E129"/>
      <c r="G129"/>
      <c r="H129"/>
    </row>
    <row r="130" spans="1:8" x14ac:dyDescent="0.35">
      <c r="A130"/>
      <c r="B130"/>
      <c r="D130"/>
      <c r="E130"/>
      <c r="G130"/>
      <c r="H130"/>
    </row>
    <row r="131" spans="1:8" x14ac:dyDescent="0.35">
      <c r="A131"/>
      <c r="B131"/>
      <c r="D131"/>
      <c r="E131"/>
      <c r="G131"/>
      <c r="H131"/>
    </row>
    <row r="132" spans="1:8" x14ac:dyDescent="0.35">
      <c r="A132"/>
      <c r="B132"/>
      <c r="D132"/>
      <c r="E132"/>
      <c r="G132"/>
      <c r="H132"/>
    </row>
    <row r="133" spans="1:8" x14ac:dyDescent="0.35">
      <c r="A133"/>
      <c r="B133"/>
      <c r="D133"/>
      <c r="E133"/>
      <c r="G133"/>
      <c r="H133"/>
    </row>
    <row r="134" spans="1:8" x14ac:dyDescent="0.35">
      <c r="A134"/>
      <c r="B134"/>
      <c r="D134"/>
      <c r="E134"/>
      <c r="G134"/>
      <c r="H134"/>
    </row>
    <row r="135" spans="1:8" x14ac:dyDescent="0.35">
      <c r="A135"/>
      <c r="B135"/>
      <c r="D135"/>
      <c r="E135"/>
      <c r="G135"/>
      <c r="H135"/>
    </row>
    <row r="136" spans="1:8" x14ac:dyDescent="0.35">
      <c r="A136"/>
      <c r="B136"/>
      <c r="D136"/>
      <c r="E136"/>
      <c r="G136"/>
      <c r="H136"/>
    </row>
    <row r="137" spans="1:8" x14ac:dyDescent="0.35">
      <c r="A137"/>
      <c r="B137"/>
      <c r="D137"/>
      <c r="E137"/>
      <c r="G137"/>
      <c r="H137"/>
    </row>
    <row r="138" spans="1:8" x14ac:dyDescent="0.35">
      <c r="A138"/>
      <c r="B138"/>
      <c r="D138"/>
      <c r="E138"/>
      <c r="G138"/>
      <c r="H138"/>
    </row>
    <row r="139" spans="1:8" x14ac:dyDescent="0.35">
      <c r="A139"/>
      <c r="B139"/>
      <c r="D139"/>
      <c r="E139"/>
      <c r="G139"/>
      <c r="H139"/>
    </row>
    <row r="140" spans="1:8" x14ac:dyDescent="0.35">
      <c r="A140"/>
      <c r="B140"/>
      <c r="D140"/>
      <c r="E140"/>
      <c r="G140"/>
      <c r="H140"/>
    </row>
    <row r="141" spans="1:8" x14ac:dyDescent="0.35">
      <c r="A141"/>
      <c r="B141"/>
      <c r="D141"/>
      <c r="E141"/>
      <c r="G141"/>
      <c r="H141"/>
    </row>
    <row r="142" spans="1:8" x14ac:dyDescent="0.35">
      <c r="A142"/>
      <c r="B142"/>
      <c r="D142"/>
      <c r="E142"/>
      <c r="G142"/>
      <c r="H142"/>
    </row>
    <row r="143" spans="1:8" x14ac:dyDescent="0.35">
      <c r="A143"/>
      <c r="B143"/>
      <c r="D143"/>
      <c r="E143"/>
      <c r="G143"/>
      <c r="H143"/>
    </row>
    <row r="144" spans="1:8" x14ac:dyDescent="0.35">
      <c r="A144"/>
      <c r="B144"/>
      <c r="D144"/>
      <c r="E144"/>
      <c r="G144"/>
      <c r="H144"/>
    </row>
  </sheetData>
  <pageMargins left="0.7" right="0.7" top="0.75" bottom="0.75" header="0.3" footer="0.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6" name="Spinner 1">
              <controlPr defaultSize="0" autoPict="0" macro="[0]!Macro12">
                <anchor moveWithCells="1" sizeWithCells="1">
                  <from>
                    <xdr:col>0</xdr:col>
                    <xdr:colOff>711200</xdr:colOff>
                    <xdr:row>0</xdr:row>
                    <xdr:rowOff>133350</xdr:rowOff>
                  </from>
                  <to>
                    <xdr:col>0</xdr:col>
                    <xdr:colOff>889000</xdr:colOff>
                    <xdr:row>1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Spinner 4">
              <controlPr defaultSize="0" autoPict="0" macro="[0]!Macro14">
                <anchor moveWithCells="1" sizeWithCells="1">
                  <from>
                    <xdr:col>12</xdr:col>
                    <xdr:colOff>533400</xdr:colOff>
                    <xdr:row>0</xdr:row>
                    <xdr:rowOff>139700</xdr:rowOff>
                  </from>
                  <to>
                    <xdr:col>13</xdr:col>
                    <xdr:colOff>63500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Spinner 6">
              <controlPr defaultSize="0" autoPict="0" macro="[0]!Macro18">
                <anchor moveWithCells="1" sizeWithCells="1">
                  <from>
                    <xdr:col>14</xdr:col>
                    <xdr:colOff>431800</xdr:colOff>
                    <xdr:row>0</xdr:row>
                    <xdr:rowOff>190500</xdr:rowOff>
                  </from>
                  <to>
                    <xdr:col>14</xdr:col>
                    <xdr:colOff>571500</xdr:colOff>
                    <xdr:row>1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AC07-DD9E-4F91-8E10-2564B78DFC19}">
  <sheetPr codeName="Sheet5"/>
  <dimension ref="A3:B9"/>
  <sheetViews>
    <sheetView workbookViewId="0">
      <selection activeCell="A3" sqref="A3:B9"/>
    </sheetView>
  </sheetViews>
  <sheetFormatPr defaultRowHeight="14.5" x14ac:dyDescent="0.35"/>
  <cols>
    <col min="1" max="1" width="12.6328125" bestFit="1" customWidth="1"/>
    <col min="2" max="2" width="20.6328125" bestFit="1" customWidth="1"/>
  </cols>
  <sheetData>
    <row r="3" spans="1:2" x14ac:dyDescent="0.35">
      <c r="A3" s="7" t="s">
        <v>6</v>
      </c>
      <c r="B3" t="s">
        <v>9</v>
      </c>
    </row>
    <row r="4" spans="1:2" x14ac:dyDescent="0.35">
      <c r="A4" s="6" t="s">
        <v>10</v>
      </c>
      <c r="B4" s="4">
        <v>0.24453703703703702</v>
      </c>
    </row>
    <row r="5" spans="1:2" x14ac:dyDescent="0.35">
      <c r="A5" s="6" t="s">
        <v>41</v>
      </c>
      <c r="B5" s="4">
        <v>0.22703703703703704</v>
      </c>
    </row>
    <row r="6" spans="1:2" x14ac:dyDescent="0.35">
      <c r="A6" s="6" t="s">
        <v>13</v>
      </c>
      <c r="B6" s="4">
        <v>0.37417824074074074</v>
      </c>
    </row>
    <row r="7" spans="1:2" x14ac:dyDescent="0.35">
      <c r="A7" s="6" t="s">
        <v>16</v>
      </c>
      <c r="B7" s="4">
        <v>0.41770833333333335</v>
      </c>
    </row>
    <row r="8" spans="1:2" x14ac:dyDescent="0.35">
      <c r="A8" s="6" t="s">
        <v>20</v>
      </c>
      <c r="B8" s="4">
        <v>0.2330787037037037</v>
      </c>
    </row>
    <row r="9" spans="1:2" x14ac:dyDescent="0.35">
      <c r="A9" s="6" t="s">
        <v>151</v>
      </c>
      <c r="B9" s="4">
        <v>1.4965393518518517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F144F-03A1-4287-8786-FCFBE7AFEB80}">
  <sheetPr codeName="Sheet6"/>
  <dimension ref="A3:B9"/>
  <sheetViews>
    <sheetView workbookViewId="0">
      <selection activeCell="K8" sqref="K8"/>
    </sheetView>
  </sheetViews>
  <sheetFormatPr defaultRowHeight="14.5" x14ac:dyDescent="0.35"/>
  <cols>
    <col min="1" max="1" width="13.08984375" bestFit="1" customWidth="1"/>
    <col min="2" max="2" width="21.7265625" bestFit="1" customWidth="1"/>
  </cols>
  <sheetData>
    <row r="3" spans="1:2" x14ac:dyDescent="0.35">
      <c r="A3" s="8" t="s">
        <v>6</v>
      </c>
      <c r="B3" t="s">
        <v>7</v>
      </c>
    </row>
    <row r="4" spans="1:2" x14ac:dyDescent="0.35">
      <c r="A4" s="6" t="s">
        <v>11</v>
      </c>
      <c r="B4" s="13">
        <v>0.65495030262646503</v>
      </c>
    </row>
    <row r="5" spans="1:2" x14ac:dyDescent="0.35">
      <c r="A5" s="6" t="s">
        <v>14</v>
      </c>
      <c r="B5" s="13">
        <v>0.65029060203969702</v>
      </c>
    </row>
    <row r="6" spans="1:2" x14ac:dyDescent="0.35">
      <c r="A6" s="6" t="s">
        <v>60</v>
      </c>
      <c r="B6" s="13">
        <v>0.64717479317021698</v>
      </c>
    </row>
    <row r="7" spans="1:2" x14ac:dyDescent="0.35">
      <c r="A7" s="6" t="s">
        <v>13</v>
      </c>
      <c r="B7" s="13">
        <v>1.064298009533315</v>
      </c>
    </row>
    <row r="8" spans="1:2" x14ac:dyDescent="0.35">
      <c r="A8" s="6" t="s">
        <v>16</v>
      </c>
      <c r="B8" s="13">
        <v>1.122824596941316</v>
      </c>
    </row>
    <row r="9" spans="1:2" x14ac:dyDescent="0.35">
      <c r="A9" s="6" t="s">
        <v>151</v>
      </c>
      <c r="B9" s="13">
        <v>4.1395383043110101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20648-2FEB-449F-A033-4339E35D3872}">
  <sheetPr codeName="Sheet7"/>
  <dimension ref="A3:B9"/>
  <sheetViews>
    <sheetView workbookViewId="0">
      <selection activeCell="K13" sqref="K13"/>
    </sheetView>
  </sheetViews>
  <sheetFormatPr defaultRowHeight="14.5" x14ac:dyDescent="0.35"/>
  <cols>
    <col min="1" max="1" width="16.54296875" bestFit="1" customWidth="1"/>
    <col min="2" max="2" width="19.453125" bestFit="1" customWidth="1"/>
  </cols>
  <sheetData>
    <row r="3" spans="1:2" x14ac:dyDescent="0.35">
      <c r="A3" s="8" t="s">
        <v>6</v>
      </c>
      <c r="B3" t="s">
        <v>8</v>
      </c>
    </row>
    <row r="4" spans="1:2" x14ac:dyDescent="0.35">
      <c r="A4" s="6" t="s">
        <v>150</v>
      </c>
      <c r="B4" s="9">
        <v>103</v>
      </c>
    </row>
    <row r="5" spans="1:2" x14ac:dyDescent="0.35">
      <c r="A5" s="6" t="s">
        <v>15</v>
      </c>
      <c r="B5" s="9">
        <v>104</v>
      </c>
    </row>
    <row r="6" spans="1:2" x14ac:dyDescent="0.35">
      <c r="A6" s="6" t="s">
        <v>17</v>
      </c>
      <c r="B6" s="9">
        <v>105</v>
      </c>
    </row>
    <row r="7" spans="1:2" x14ac:dyDescent="0.35">
      <c r="A7" s="6" t="s">
        <v>19</v>
      </c>
      <c r="B7" s="9">
        <v>106</v>
      </c>
    </row>
    <row r="8" spans="1:2" x14ac:dyDescent="0.35">
      <c r="A8" s="6" t="s">
        <v>21</v>
      </c>
      <c r="B8" s="9">
        <v>107</v>
      </c>
    </row>
    <row r="9" spans="1:2" x14ac:dyDescent="0.35">
      <c r="A9" s="6" t="s">
        <v>151</v>
      </c>
      <c r="B9" s="9">
        <v>525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100A1-56A2-43B2-B4F3-A32B93E355F6}">
  <sheetPr codeName="Sheet8"/>
  <dimension ref="T1:T2"/>
  <sheetViews>
    <sheetView workbookViewId="0">
      <selection activeCell="D15" sqref="D15"/>
    </sheetView>
  </sheetViews>
  <sheetFormatPr defaultRowHeight="14.5" x14ac:dyDescent="0.35"/>
  <cols>
    <col min="1" max="1" width="13.1796875" bestFit="1" customWidth="1"/>
    <col min="2" max="2" width="33" bestFit="1" customWidth="1"/>
    <col min="4" max="4" width="12.6328125" bestFit="1" customWidth="1"/>
    <col min="5" max="5" width="20.6328125" bestFit="1" customWidth="1"/>
  </cols>
  <sheetData>
    <row r="1" spans="20:20" x14ac:dyDescent="0.35">
      <c r="T1" s="14">
        <v>5</v>
      </c>
    </row>
    <row r="2" spans="20:20" x14ac:dyDescent="0.35">
      <c r="T2" s="14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7" r:id="rId3" name="Spinner 5">
              <controlPr defaultSize="0" autoPict="0">
                <anchor moveWithCells="1" sizeWithCells="1">
                  <from>
                    <xdr:col>1</xdr:col>
                    <xdr:colOff>603250</xdr:colOff>
                    <xdr:row>0</xdr:row>
                    <xdr:rowOff>101600</xdr:rowOff>
                  </from>
                  <to>
                    <xdr:col>1</xdr:col>
                    <xdr:colOff>742950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FBA65-0D76-46D4-9BD9-AA3746475FDC}">
  <sheetPr codeName="Sheet1">
    <tabColor rgb="FFFF0000"/>
  </sheetPr>
  <dimension ref="A1:I144"/>
  <sheetViews>
    <sheetView zoomScale="81" workbookViewId="0">
      <selection activeCell="C12" sqref="A1:G144"/>
    </sheetView>
  </sheetViews>
  <sheetFormatPr defaultRowHeight="14.5" x14ac:dyDescent="0.35"/>
  <cols>
    <col min="1" max="1" width="33.08984375" bestFit="1" customWidth="1"/>
    <col min="2" max="2" width="19.81640625" bestFit="1" customWidth="1"/>
    <col min="3" max="3" width="27.26953125" bestFit="1" customWidth="1"/>
    <col min="4" max="4" width="12.1796875" bestFit="1" customWidth="1"/>
    <col min="5" max="5" width="14.7265625" bestFit="1" customWidth="1"/>
    <col min="6" max="6" width="11.7265625" bestFit="1" customWidth="1"/>
    <col min="7" max="7" width="13.6328125" bestFit="1" customWidth="1"/>
    <col min="8" max="8" width="11.6328125" bestFit="1" customWidth="1"/>
    <col min="9" max="9" width="18.26953125" bestFit="1" customWidth="1"/>
  </cols>
  <sheetData>
    <row r="1" spans="1:9" ht="17.5" customHeight="1" x14ac:dyDescent="0.35">
      <c r="A1" s="12" t="s">
        <v>152</v>
      </c>
      <c r="B1" s="1" t="s">
        <v>0</v>
      </c>
      <c r="C1" s="2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10"/>
      <c r="I1" s="11"/>
    </row>
    <row r="2" spans="1:9" x14ac:dyDescent="0.35">
      <c r="A2" t="s">
        <v>153</v>
      </c>
      <c r="B2" t="s">
        <v>22</v>
      </c>
      <c r="C2" s="4">
        <f>TIMEVALUE(VLOOKUP(A2,EData,2,0))</f>
        <v>0.34424768518518517</v>
      </c>
      <c r="D2" s="4">
        <f>TIMEVALUE(VLOOKUP(A2,EData,3,0))</f>
        <v>0.20693287037037036</v>
      </c>
      <c r="E2" s="4">
        <f>TIMEVALUE(VLOOKUP(A2,BData,9,0))</f>
        <v>4.7708333333333332E-2</v>
      </c>
      <c r="F2">
        <f>VLOOKUP(A2,'[1]OverAll Performance'!$1:$150,2,)</f>
        <v>98</v>
      </c>
      <c r="G2" s="5">
        <f>VLOOKUP(A2,EData,6,)</f>
        <v>0.55697138822580095</v>
      </c>
    </row>
    <row r="3" spans="1:9" x14ac:dyDescent="0.35">
      <c r="A3" t="s">
        <v>154</v>
      </c>
      <c r="B3" t="s">
        <v>23</v>
      </c>
      <c r="C3" s="4">
        <f>TIMEVALUE(VLOOKUP(A3,EData,2,0))</f>
        <v>0.34416666666666668</v>
      </c>
      <c r="D3" s="4">
        <f>TIMEVALUE(VLOOKUP(A3,EData,3,0))</f>
        <v>0.20733796296296297</v>
      </c>
      <c r="E3" s="4">
        <f>TIMEVALUE(VLOOKUP(A3,BData,9,0))</f>
        <v>4.8599537037037038E-2</v>
      </c>
      <c r="F3">
        <f>VLOOKUP(A3,'[1]OverAll Performance'!$1:$150,2,)</f>
        <v>23</v>
      </c>
      <c r="G3" s="5">
        <f>VLOOKUP(A3,EData,6,)</f>
        <v>0.58027306967984904</v>
      </c>
    </row>
    <row r="4" spans="1:9" x14ac:dyDescent="0.35">
      <c r="A4" t="s">
        <v>155</v>
      </c>
      <c r="B4" t="s">
        <v>24</v>
      </c>
      <c r="C4" s="4">
        <f>TIMEVALUE(VLOOKUP(A4,EData,2,0))</f>
        <v>0.34510416666666666</v>
      </c>
      <c r="D4" s="4">
        <f>TIMEVALUE(VLOOKUP(A4,EData,3,0))</f>
        <v>0.20109953703703703</v>
      </c>
      <c r="E4" s="4">
        <f>TIMEVALUE(VLOOKUP(A4,BData,9,0))</f>
        <v>5.1319444444444445E-2</v>
      </c>
      <c r="F4">
        <f>VLOOKUP(A4,'[1]OverAll Performance'!$1:$150,2,)</f>
        <v>28</v>
      </c>
      <c r="G4" s="5">
        <f>VLOOKUP(A4,EData,6,)</f>
        <v>0.51708756749505302</v>
      </c>
    </row>
    <row r="5" spans="1:9" x14ac:dyDescent="0.35">
      <c r="A5" t="s">
        <v>156</v>
      </c>
      <c r="B5" t="s">
        <v>25</v>
      </c>
      <c r="C5" s="4">
        <f>TIMEVALUE(VLOOKUP(A5,EData,2,0))</f>
        <v>0.34023148148148147</v>
      </c>
      <c r="D5" s="4">
        <f>TIMEVALUE(VLOOKUP(A5,EData,3,0))</f>
        <v>0.17884259259259258</v>
      </c>
      <c r="E5" s="4">
        <f>TIMEVALUE(VLOOKUP(A5,BData,9,0))</f>
        <v>9.6550925925925929E-2</v>
      </c>
      <c r="F5">
        <f>VLOOKUP(A5,'[1]OverAll Performance'!$1:$150,2,)</f>
        <v>29</v>
      </c>
      <c r="G5" s="5">
        <f>VLOOKUP(A5,EData,6,)</f>
        <v>0.47720778337188702</v>
      </c>
    </row>
    <row r="6" spans="1:9" x14ac:dyDescent="0.35">
      <c r="A6" t="s">
        <v>157</v>
      </c>
      <c r="B6" t="s">
        <v>26</v>
      </c>
      <c r="C6" s="4">
        <f>TIMEVALUE(VLOOKUP(A6,EData,2,0))</f>
        <v>0.30603009259259262</v>
      </c>
      <c r="D6" s="4">
        <f>TIMEVALUE(VLOOKUP(A6,EData,3,0))</f>
        <v>0.13870370370370369</v>
      </c>
      <c r="E6" s="4">
        <f>TIMEVALUE(VLOOKUP(A6,BData,9,0))</f>
        <v>0.12844907407407408</v>
      </c>
      <c r="F6">
        <f>VLOOKUP(A6,'[1]OverAll Performance'!$1:$150,2,)</f>
        <v>93</v>
      </c>
      <c r="G6" s="5">
        <f>VLOOKUP(A6,EData,6,)</f>
        <v>0.43288831738587802</v>
      </c>
    </row>
    <row r="7" spans="1:9" x14ac:dyDescent="0.35">
      <c r="A7" t="s">
        <v>158</v>
      </c>
      <c r="B7" t="s">
        <v>11</v>
      </c>
      <c r="C7" s="4">
        <f>TIMEVALUE(VLOOKUP(A7,EData,2,0))</f>
        <v>0.2084375</v>
      </c>
      <c r="D7" s="4">
        <f>TIMEVALUE(VLOOKUP(A7,EData,3,0))</f>
        <v>0.15369212962962964</v>
      </c>
      <c r="E7" s="4">
        <f>TIMEVALUE(VLOOKUP(A7,BData,9,0))</f>
        <v>1.8831018518518518E-2</v>
      </c>
      <c r="F7">
        <f>VLOOKUP(A7,'[1]OverAll Performance'!$1:$150,2,)</f>
        <v>92</v>
      </c>
      <c r="G7" s="5">
        <f>VLOOKUP(A7,EData,6,)</f>
        <v>0.65495030262646503</v>
      </c>
    </row>
    <row r="8" spans="1:9" x14ac:dyDescent="0.35">
      <c r="A8" t="s">
        <v>159</v>
      </c>
      <c r="B8" t="s">
        <v>27</v>
      </c>
      <c r="C8" s="4">
        <f>TIMEVALUE(VLOOKUP(A8,EData,2,0))</f>
        <v>0.34488425925925925</v>
      </c>
      <c r="D8" s="4">
        <f>TIMEVALUE(VLOOKUP(A8,EData,3,0))</f>
        <v>0.17553240740740741</v>
      </c>
      <c r="E8" s="4">
        <f>TIMEVALUE(VLOOKUP(A8,BData,9,0))</f>
        <v>0.11229166666666666</v>
      </c>
      <c r="F8">
        <f>VLOOKUP(A8,'[1]OverAll Performance'!$1:$150,2,)</f>
        <v>26</v>
      </c>
      <c r="G8" s="5">
        <f>VLOOKUP(A8,EData,6,)</f>
        <v>0.49476474931203401</v>
      </c>
    </row>
    <row r="9" spans="1:9" x14ac:dyDescent="0.35">
      <c r="A9" t="s">
        <v>160</v>
      </c>
      <c r="B9" t="s">
        <v>10</v>
      </c>
      <c r="C9" s="4">
        <f>TIMEVALUE(VLOOKUP(A9,EData,2,0))</f>
        <v>0.38646990740740739</v>
      </c>
      <c r="D9" s="4">
        <f>TIMEVALUE(VLOOKUP(A9,EData,3,0))</f>
        <v>0.24453703703703702</v>
      </c>
      <c r="E9" s="4">
        <f>TIMEVALUE(VLOOKUP(A9,BData,9,0))</f>
        <v>5.0810185185185187E-2</v>
      </c>
      <c r="F9">
        <f>VLOOKUP(A9,'[1]OverAll Performance'!$1:$150,2,)</f>
        <v>90</v>
      </c>
      <c r="G9" s="5">
        <f>VLOOKUP(A9,EData,6,)</f>
        <v>0.55128627474469205</v>
      </c>
    </row>
    <row r="10" spans="1:9" x14ac:dyDescent="0.35">
      <c r="A10" t="s">
        <v>161</v>
      </c>
      <c r="B10" t="s">
        <v>28</v>
      </c>
      <c r="C10" s="4">
        <f>TIMEVALUE(VLOOKUP(A10,EData,2,0))</f>
        <v>0.34256944444444443</v>
      </c>
      <c r="D10" s="4">
        <f>TIMEVALUE(VLOOKUP(A10,EData,3,0))</f>
        <v>0.20311342592592593</v>
      </c>
      <c r="E10" s="4">
        <f>TIMEVALUE(VLOOKUP(A10,BData,9,0))</f>
        <v>4.628472222222222E-2</v>
      </c>
      <c r="F10">
        <f>VLOOKUP(A10,'[1]OverAll Performance'!$1:$150,2,)</f>
        <v>89</v>
      </c>
      <c r="G10" s="5">
        <f>VLOOKUP(A10,EData,6,)</f>
        <v>0.55206432867085597</v>
      </c>
    </row>
    <row r="11" spans="1:9" x14ac:dyDescent="0.35">
      <c r="A11" t="s">
        <v>162</v>
      </c>
      <c r="B11" t="s">
        <v>29</v>
      </c>
      <c r="C11" s="4">
        <f>TIMEVALUE(VLOOKUP(A11,EData,2,0))</f>
        <v>0.34769675925925925</v>
      </c>
      <c r="D11" s="4">
        <f>TIMEVALUE(VLOOKUP(A11,EData,3,0))</f>
        <v>0.20702546296296295</v>
      </c>
      <c r="E11" s="4">
        <f>TIMEVALUE(VLOOKUP(A11,BData,9,0))</f>
        <v>4.8576388888888891E-2</v>
      </c>
      <c r="F11">
        <f>VLOOKUP(A11,'[1]OverAll Performance'!$1:$150,2,)</f>
        <v>54</v>
      </c>
      <c r="G11" s="5">
        <f>VLOOKUP(A11,EData,6,)</f>
        <v>0.56868945774108703</v>
      </c>
    </row>
    <row r="12" spans="1:9" x14ac:dyDescent="0.35">
      <c r="A12" t="s">
        <v>163</v>
      </c>
      <c r="B12" t="s">
        <v>30</v>
      </c>
      <c r="C12" s="4">
        <f>TIMEVALUE(VLOOKUP(A12,EData,2,0))</f>
        <v>0.34068287037037037</v>
      </c>
      <c r="D12" s="4">
        <f>TIMEVALUE(VLOOKUP(A12,EData,3,0))</f>
        <v>0.20518518518518519</v>
      </c>
      <c r="E12" s="4">
        <f>TIMEVALUE(VLOOKUP(A12,BData,9,0))</f>
        <v>4.809027777777778E-2</v>
      </c>
      <c r="F12">
        <f>VLOOKUP(A12,'[1]OverAll Performance'!$1:$150,2,)</f>
        <v>87</v>
      </c>
      <c r="G12" s="5">
        <f>VLOOKUP(A12,EData,6,)</f>
        <v>0.56035332087650802</v>
      </c>
    </row>
    <row r="13" spans="1:9" x14ac:dyDescent="0.35">
      <c r="A13" t="s">
        <v>164</v>
      </c>
      <c r="B13" t="s">
        <v>31</v>
      </c>
      <c r="C13" s="4">
        <f>TIMEVALUE(VLOOKUP(A13,EData,2,0))</f>
        <v>0.33622685185185186</v>
      </c>
      <c r="D13" s="4">
        <f>TIMEVALUE(VLOOKUP(A13,EData,3,0))</f>
        <v>0.15812499999999999</v>
      </c>
      <c r="E13" s="4">
        <f>TIMEVALUE(VLOOKUP(A13,BData,9,0))</f>
        <v>0.12590277777777778</v>
      </c>
      <c r="F13">
        <f>VLOOKUP(A13,'[1]OverAll Performance'!$1:$150,2,)</f>
        <v>65</v>
      </c>
      <c r="G13" s="5">
        <f>VLOOKUP(A13,EData,6,)</f>
        <v>0.41552495697073999</v>
      </c>
    </row>
    <row r="14" spans="1:9" x14ac:dyDescent="0.35">
      <c r="A14" t="s">
        <v>165</v>
      </c>
      <c r="B14" t="s">
        <v>32</v>
      </c>
      <c r="C14" s="4">
        <f>TIMEVALUE(VLOOKUP(A14,EData,2,0))</f>
        <v>0.34349537037037037</v>
      </c>
      <c r="D14" s="4">
        <f>TIMEVALUE(VLOOKUP(A14,EData,3,0))</f>
        <v>0.19699074074074074</v>
      </c>
      <c r="E14" s="4">
        <f>TIMEVALUE(VLOOKUP(A14,BData,9,0))</f>
        <v>8.7974537037037032E-2</v>
      </c>
      <c r="F14">
        <f>VLOOKUP(A14,'[1]OverAll Performance'!$1:$150,2,)</f>
        <v>85</v>
      </c>
      <c r="G14" s="5">
        <f>VLOOKUP(A14,EData,6,)</f>
        <v>0.50026955994339195</v>
      </c>
    </row>
    <row r="15" spans="1:9" x14ac:dyDescent="0.35">
      <c r="A15" t="s">
        <v>166</v>
      </c>
      <c r="B15" t="s">
        <v>33</v>
      </c>
      <c r="C15" s="4">
        <f>TIMEVALUE(VLOOKUP(A15,EData,2,0))</f>
        <v>0.33321759259259259</v>
      </c>
      <c r="D15" s="4">
        <f>TIMEVALUE(VLOOKUP(A15,EData,3,0))</f>
        <v>0.19475694444444444</v>
      </c>
      <c r="E15" s="4">
        <f>TIMEVALUE(VLOOKUP(A15,BData,9,0))</f>
        <v>4.9004629629629627E-2</v>
      </c>
      <c r="F15">
        <f>VLOOKUP(A15,'[1]OverAll Performance'!$1:$150,2,)</f>
        <v>65</v>
      </c>
      <c r="G15" s="5">
        <f>VLOOKUP(A15,EData,6,)</f>
        <v>0.51396318166029897</v>
      </c>
    </row>
    <row r="16" spans="1:9" x14ac:dyDescent="0.35">
      <c r="A16" t="s">
        <v>167</v>
      </c>
      <c r="B16" t="s">
        <v>34</v>
      </c>
      <c r="C16" s="4">
        <f>TIMEVALUE(VLOOKUP(A16,EData,2,0))</f>
        <v>0.34512731481481479</v>
      </c>
      <c r="D16" s="4">
        <f>TIMEVALUE(VLOOKUP(A16,EData,3,0))</f>
        <v>0.2066550925925926</v>
      </c>
      <c r="E16" s="4">
        <f>TIMEVALUE(VLOOKUP(A16,BData,9,0))</f>
        <v>5.3460648148148146E-2</v>
      </c>
      <c r="F16">
        <f>VLOOKUP(A16,'[1]OverAll Performance'!$1:$150,2,)</f>
        <v>83</v>
      </c>
      <c r="G16" s="5">
        <f>VLOOKUP(A16,EData,6,)</f>
        <v>0.510580502364264</v>
      </c>
    </row>
    <row r="17" spans="1:7" x14ac:dyDescent="0.35">
      <c r="A17" t="s">
        <v>168</v>
      </c>
      <c r="B17" t="s">
        <v>35</v>
      </c>
      <c r="C17" s="4">
        <f>TIMEVALUE(VLOOKUP(A17,EData,2,0))</f>
        <v>0.34531250000000002</v>
      </c>
      <c r="D17" s="4">
        <f>TIMEVALUE(VLOOKUP(A17,EData,3,0))</f>
        <v>0.17390046296296297</v>
      </c>
      <c r="E17" s="4">
        <f>TIMEVALUE(VLOOKUP(A17,BData,9,0))</f>
        <v>0.10023148148148148</v>
      </c>
      <c r="F17">
        <f>VLOOKUP(A17,'[1]OverAll Performance'!$1:$150,2,)</f>
        <v>82</v>
      </c>
      <c r="G17" s="5">
        <f>VLOOKUP(A17,EData,6,)</f>
        <v>0.48292274174627098</v>
      </c>
    </row>
    <row r="18" spans="1:7" x14ac:dyDescent="0.35">
      <c r="A18" t="s">
        <v>169</v>
      </c>
      <c r="B18" t="s">
        <v>36</v>
      </c>
      <c r="C18" s="4">
        <f>TIMEVALUE(VLOOKUP(A18,EData,2,0))</f>
        <v>0.34574074074074074</v>
      </c>
      <c r="D18" s="4">
        <f>TIMEVALUE(VLOOKUP(A18,EData,3,0))</f>
        <v>0.20710648148148147</v>
      </c>
      <c r="E18" s="4">
        <f>TIMEVALUE(VLOOKUP(A18,BData,9,0))</f>
        <v>5.1736111111111108E-2</v>
      </c>
      <c r="F18">
        <f>VLOOKUP(A18,'[1]OverAll Performance'!$1:$150,2,)</f>
        <v>78</v>
      </c>
      <c r="G18" s="5">
        <f>VLOOKUP(A18,EData,6,)</f>
        <v>0.57495313336904097</v>
      </c>
    </row>
    <row r="19" spans="1:7" x14ac:dyDescent="0.35">
      <c r="A19" t="s">
        <v>170</v>
      </c>
      <c r="B19" t="s">
        <v>37</v>
      </c>
      <c r="C19" s="4">
        <f>TIMEVALUE(VLOOKUP(A19,EData,2,0))</f>
        <v>0.34283564814814815</v>
      </c>
      <c r="D19" s="4">
        <f>TIMEVALUE(VLOOKUP(A19,EData,3,0))</f>
        <v>0.20393518518518519</v>
      </c>
      <c r="E19" s="4">
        <f>TIMEVALUE(VLOOKUP(A19,BData,9,0))</f>
        <v>4.6516203703703705E-2</v>
      </c>
      <c r="F19">
        <f>VLOOKUP(A19,'[1]OverAll Performance'!$1:$150,2,)</f>
        <v>77</v>
      </c>
      <c r="G19" s="5">
        <f>VLOOKUP(A19,EData,6,)</f>
        <v>0.57945376590932096</v>
      </c>
    </row>
    <row r="20" spans="1:7" x14ac:dyDescent="0.35">
      <c r="A20" t="s">
        <v>171</v>
      </c>
      <c r="B20" t="s">
        <v>38</v>
      </c>
      <c r="C20" s="4">
        <f>TIMEVALUE(VLOOKUP(A20,EData,2,0))</f>
        <v>0.34553240740740743</v>
      </c>
      <c r="D20" s="4">
        <f>TIMEVALUE(VLOOKUP(A20,EData,3,0))</f>
        <v>0.20821759259259259</v>
      </c>
      <c r="E20" s="4">
        <f>TIMEVALUE(VLOOKUP(A20,BData,9,0))</f>
        <v>4.8460648148148149E-2</v>
      </c>
      <c r="F20">
        <f>VLOOKUP(A20,'[1]OverAll Performance'!$1:$150,2,)</f>
        <v>76</v>
      </c>
      <c r="G20" s="5">
        <f>VLOOKUP(A20,EData,6,)</f>
        <v>0.588296375695049</v>
      </c>
    </row>
    <row r="21" spans="1:7" x14ac:dyDescent="0.35">
      <c r="A21" t="s">
        <v>172</v>
      </c>
      <c r="B21" t="s">
        <v>39</v>
      </c>
      <c r="C21" s="4">
        <f>TIMEVALUE(VLOOKUP(A21,EData,2,0))</f>
        <v>0.32064814814814813</v>
      </c>
      <c r="D21" s="4">
        <f>TIMEVALUE(VLOOKUP(A21,EData,3,0))</f>
        <v>0.17288194444444444</v>
      </c>
      <c r="E21" s="4">
        <f>TIMEVALUE(VLOOKUP(A21,BData,9,0))</f>
        <v>9.0486111111111114E-2</v>
      </c>
      <c r="F21">
        <f>VLOOKUP(A21,'[1]OverAll Performance'!$1:$150,2,)</f>
        <v>75</v>
      </c>
      <c r="G21" s="5">
        <f>VLOOKUP(A21,EData,6,)</f>
        <v>0.46267686976609901</v>
      </c>
    </row>
    <row r="22" spans="1:7" x14ac:dyDescent="0.35">
      <c r="A22" t="s">
        <v>173</v>
      </c>
      <c r="B22" t="s">
        <v>40</v>
      </c>
      <c r="C22" s="4">
        <f>TIMEVALUE(VLOOKUP(A22,EData,2,0))</f>
        <v>0.34032407407407406</v>
      </c>
      <c r="D22" s="4">
        <f>TIMEVALUE(VLOOKUP(A22,EData,3,0))</f>
        <v>0.17644675925925926</v>
      </c>
      <c r="E22" s="4">
        <f>TIMEVALUE(VLOOKUP(A22,BData,9,0))</f>
        <v>9.1168981481481476E-2</v>
      </c>
      <c r="F22">
        <f>VLOOKUP(A22,'[1]OverAll Performance'!$1:$150,2,)</f>
        <v>74</v>
      </c>
      <c r="G22" s="5">
        <f>VLOOKUP(A22,EData,6,)</f>
        <v>0.478030199972793</v>
      </c>
    </row>
    <row r="23" spans="1:7" x14ac:dyDescent="0.35">
      <c r="A23" t="s">
        <v>174</v>
      </c>
      <c r="B23" t="s">
        <v>41</v>
      </c>
      <c r="C23" s="4">
        <f>TIMEVALUE(VLOOKUP(A23,EData,2,0))</f>
        <v>0.34328703703703706</v>
      </c>
      <c r="D23" s="4">
        <f>TIMEVALUE(VLOOKUP(A23,EData,3,0))</f>
        <v>0.22703703703703704</v>
      </c>
      <c r="E23" s="4">
        <f>TIMEVALUE(VLOOKUP(A23,BData,9,0))</f>
        <v>5.0625000000000003E-2</v>
      </c>
      <c r="F23">
        <f>VLOOKUP(A23,'[1]OverAll Performance'!$1:$150,2,)</f>
        <v>73</v>
      </c>
      <c r="G23" s="5">
        <f>VLOOKUP(A23,EData,6,)</f>
        <v>0.59983142279163904</v>
      </c>
    </row>
    <row r="24" spans="1:7" x14ac:dyDescent="0.35">
      <c r="A24" t="s">
        <v>175</v>
      </c>
      <c r="B24" t="s">
        <v>14</v>
      </c>
      <c r="C24" s="4">
        <f>TIMEVALUE(VLOOKUP(A24,EData,2,0))</f>
        <v>0.31663194444444442</v>
      </c>
      <c r="D24" s="4">
        <f>TIMEVALUE(VLOOKUP(A24,EData,3,0))</f>
        <v>0.21199074074074073</v>
      </c>
      <c r="E24" s="4">
        <f>TIMEVALUE(VLOOKUP(A24,BData,9,0))</f>
        <v>2.1180555555555557E-2</v>
      </c>
      <c r="F24">
        <f>VLOOKUP(A24,'[1]OverAll Performance'!$1:$150,2,)</f>
        <v>72</v>
      </c>
      <c r="G24" s="5">
        <f>VLOOKUP(A24,EData,6,)</f>
        <v>0.65029060203969702</v>
      </c>
    </row>
    <row r="25" spans="1:7" x14ac:dyDescent="0.35">
      <c r="A25" t="s">
        <v>176</v>
      </c>
      <c r="B25" t="s">
        <v>42</v>
      </c>
      <c r="C25" s="4">
        <f>TIMEVALUE(VLOOKUP(A25,EData,2,0))</f>
        <v>0.34512731481481479</v>
      </c>
      <c r="D25" s="4">
        <f>TIMEVALUE(VLOOKUP(A25,EData,3,0))</f>
        <v>0.20607638888888888</v>
      </c>
      <c r="E25" s="4">
        <f>TIMEVALUE(VLOOKUP(A25,BData,9,0))</f>
        <v>4.9768518518518517E-2</v>
      </c>
      <c r="F25">
        <f>VLOOKUP(A25,'[1]OverAll Performance'!$1:$150,2,)</f>
        <v>71</v>
      </c>
      <c r="G25" s="5">
        <f>VLOOKUP(A25,EData,6,)</f>
        <v>0.55001844461584903</v>
      </c>
    </row>
    <row r="26" spans="1:7" x14ac:dyDescent="0.35">
      <c r="A26" t="s">
        <v>177</v>
      </c>
      <c r="B26" t="s">
        <v>43</v>
      </c>
      <c r="C26" s="4">
        <f>TIMEVALUE(VLOOKUP(A26,EData,2,0))</f>
        <v>0.34297453703703706</v>
      </c>
      <c r="D26" s="4">
        <f>TIMEVALUE(VLOOKUP(A26,EData,3,0))</f>
        <v>0.21273148148148149</v>
      </c>
      <c r="E26" s="4">
        <f>TIMEVALUE(VLOOKUP(A26,BData,9,0))</f>
        <v>4.8645833333333333E-2</v>
      </c>
      <c r="F26">
        <f>VLOOKUP(A26,'[1]OverAll Performance'!$1:$150,2,)</f>
        <v>70</v>
      </c>
      <c r="G26" s="5">
        <f>VLOOKUP(A26,EData,6,)</f>
        <v>0.51334660682347399</v>
      </c>
    </row>
    <row r="27" spans="1:7" x14ac:dyDescent="0.35">
      <c r="A27" t="s">
        <v>178</v>
      </c>
      <c r="B27" t="s">
        <v>44</v>
      </c>
      <c r="C27" s="4">
        <f>TIMEVALUE(VLOOKUP(A27,EData,2,0))</f>
        <v>0.34387731481481482</v>
      </c>
      <c r="D27" s="4">
        <f>TIMEVALUE(VLOOKUP(A27,EData,3,0))</f>
        <v>0.17480324074074075</v>
      </c>
      <c r="E27" s="4">
        <f>TIMEVALUE(VLOOKUP(A27,BData,9,0))</f>
        <v>0.11449074074074074</v>
      </c>
      <c r="F27">
        <f>VLOOKUP(A27,'[1]OverAll Performance'!$1:$150,2,)</f>
        <v>69</v>
      </c>
      <c r="G27" s="5">
        <f>VLOOKUP(A27,EData,6,)</f>
        <v>0.43603379219817601</v>
      </c>
    </row>
    <row r="28" spans="1:7" x14ac:dyDescent="0.35">
      <c r="A28" t="s">
        <v>179</v>
      </c>
      <c r="B28" t="s">
        <v>45</v>
      </c>
      <c r="C28" s="4">
        <f>TIMEVALUE(VLOOKUP(A28,EData,2,0))</f>
        <v>0.31069444444444444</v>
      </c>
      <c r="D28" s="4">
        <f>TIMEVALUE(VLOOKUP(A28,EData,3,0))</f>
        <v>0.1912962962962963</v>
      </c>
      <c r="E28" s="4">
        <f>TIMEVALUE(VLOOKUP(A28,BData,9,0))</f>
        <v>5.5787037037037038E-2</v>
      </c>
      <c r="F28">
        <f>VLOOKUP(A28,'[1]OverAll Performance'!$1:$150,2,)</f>
        <v>68</v>
      </c>
      <c r="G28" s="5">
        <f>VLOOKUP(A28,EData,6,)</f>
        <v>0.52954105200417201</v>
      </c>
    </row>
    <row r="29" spans="1:7" x14ac:dyDescent="0.35">
      <c r="A29" t="s">
        <v>180</v>
      </c>
      <c r="B29" t="s">
        <v>46</v>
      </c>
      <c r="C29" s="4">
        <f>TIMEVALUE(VLOOKUP(A29,EData,2,0))</f>
        <v>0.33329861111111109</v>
      </c>
      <c r="D29" s="4">
        <f>TIMEVALUE(VLOOKUP(A29,EData,3,0))</f>
        <v>0.21824074074074074</v>
      </c>
      <c r="E29" s="4">
        <f>TIMEVALUE(VLOOKUP(A29,BData,9,0))</f>
        <v>4.809027777777778E-2</v>
      </c>
      <c r="F29">
        <f>VLOOKUP(A29,'[1]OverAll Performance'!$1:$150,2,)</f>
        <v>67</v>
      </c>
      <c r="G29" s="5">
        <f>VLOOKUP(A29,EData,6,)</f>
        <v>0.56446852102649603</v>
      </c>
    </row>
    <row r="30" spans="1:7" x14ac:dyDescent="0.35">
      <c r="A30" t="s">
        <v>181</v>
      </c>
      <c r="B30" t="s">
        <v>47</v>
      </c>
      <c r="C30" s="4">
        <f>TIMEVALUE(VLOOKUP(A30,EData,2,0))</f>
        <v>0.34564814814814815</v>
      </c>
      <c r="D30" s="4">
        <f>TIMEVALUE(VLOOKUP(A30,EData,3,0))</f>
        <v>0.21184027777777778</v>
      </c>
      <c r="E30" s="4">
        <f>TIMEVALUE(VLOOKUP(A30,BData,9,0))</f>
        <v>8.9745370370370364E-2</v>
      </c>
      <c r="F30">
        <f>VLOOKUP(A30,'[1]OverAll Performance'!$1:$150,2,)</f>
        <v>66</v>
      </c>
      <c r="G30" s="5">
        <f>VLOOKUP(A30,EData,6,)</f>
        <v>0.49789043664612898</v>
      </c>
    </row>
    <row r="31" spans="1:7" x14ac:dyDescent="0.35">
      <c r="A31" t="s">
        <v>182</v>
      </c>
      <c r="B31" t="s">
        <v>48</v>
      </c>
      <c r="C31" s="4">
        <f>TIMEVALUE(VLOOKUP(A31,EData,2,0))</f>
        <v>0.34664351851851855</v>
      </c>
      <c r="D31" s="4">
        <f>TIMEVALUE(VLOOKUP(A31,EData,3,0))</f>
        <v>0.20781250000000001</v>
      </c>
      <c r="E31" s="4">
        <f>TIMEVALUE(VLOOKUP(A31,BData,9,0))</f>
        <v>4.7951388888888891E-2</v>
      </c>
      <c r="F31">
        <f>VLOOKUP(A31,'[1]OverAll Performance'!$1:$150,2,)</f>
        <v>65</v>
      </c>
      <c r="G31" s="5">
        <f>VLOOKUP(A31,EData,6,)</f>
        <v>0.56270450751252099</v>
      </c>
    </row>
    <row r="32" spans="1:7" x14ac:dyDescent="0.35">
      <c r="A32" t="s">
        <v>183</v>
      </c>
      <c r="B32" t="s">
        <v>49</v>
      </c>
      <c r="C32" s="4">
        <f>TIMEVALUE(VLOOKUP(A32,EData,2,0))</f>
        <v>0.34471064814814817</v>
      </c>
      <c r="D32" s="4">
        <f>TIMEVALUE(VLOOKUP(A32,EData,3,0))</f>
        <v>0.20981481481481482</v>
      </c>
      <c r="E32" s="4">
        <f>TIMEVALUE(VLOOKUP(A32,BData,9,0))</f>
        <v>4.8564814814814818E-2</v>
      </c>
      <c r="F32">
        <f>VLOOKUP(A32,'[1]OverAll Performance'!$1:$150,2,)</f>
        <v>64</v>
      </c>
      <c r="G32" s="5">
        <f>VLOOKUP(A32,EData,6,)</f>
        <v>0.57680556021891705</v>
      </c>
    </row>
    <row r="33" spans="1:7" x14ac:dyDescent="0.35">
      <c r="A33" t="s">
        <v>184</v>
      </c>
      <c r="B33" t="s">
        <v>50</v>
      </c>
      <c r="C33" s="4">
        <f>TIMEVALUE(VLOOKUP(A33,EData,2,0))</f>
        <v>0.31923611111111111</v>
      </c>
      <c r="D33" s="4">
        <f>TIMEVALUE(VLOOKUP(A33,EData,3,0))</f>
        <v>0.18953703703703703</v>
      </c>
      <c r="E33" s="4">
        <f>TIMEVALUE(VLOOKUP(A33,BData,9,0))</f>
        <v>6.1215277777777778E-2</v>
      </c>
      <c r="F33">
        <f>VLOOKUP(A33,'[1]OverAll Performance'!$1:$150,2,)</f>
        <v>63</v>
      </c>
      <c r="G33" s="5">
        <f>VLOOKUP(A33,EData,6,)</f>
        <v>0.55728373576970502</v>
      </c>
    </row>
    <row r="34" spans="1:7" x14ac:dyDescent="0.35">
      <c r="A34" t="s">
        <v>185</v>
      </c>
      <c r="B34" t="s">
        <v>51</v>
      </c>
      <c r="C34" s="4">
        <f>TIMEVALUE(VLOOKUP(A34,EData,2,0))</f>
        <v>0.34128472222222223</v>
      </c>
      <c r="D34" s="4">
        <f>TIMEVALUE(VLOOKUP(A34,EData,3,0))</f>
        <v>0.17200231481481482</v>
      </c>
      <c r="E34" s="4">
        <f>TIMEVALUE(VLOOKUP(A34,BData,9,0))</f>
        <v>0.10777777777777778</v>
      </c>
      <c r="F34">
        <f>VLOOKUP(A34,'[1]OverAll Performance'!$1:$150,2,)</f>
        <v>62</v>
      </c>
      <c r="G34" s="5">
        <f>VLOOKUP(A34,EData,6,)</f>
        <v>0.47590463594126198</v>
      </c>
    </row>
    <row r="35" spans="1:7" x14ac:dyDescent="0.35">
      <c r="A35" t="s">
        <v>186</v>
      </c>
      <c r="B35" t="s">
        <v>52</v>
      </c>
      <c r="C35" s="4">
        <f>TIMEVALUE(VLOOKUP(A35,EData,2,0))</f>
        <v>0.34012731481481484</v>
      </c>
      <c r="D35" s="4">
        <f>TIMEVALUE(VLOOKUP(A35,EData,3,0))</f>
        <v>0.20243055555555556</v>
      </c>
      <c r="E35" s="4">
        <f>TIMEVALUE(VLOOKUP(A35,BData,9,0))</f>
        <v>4.8333333333333332E-2</v>
      </c>
      <c r="F35">
        <f>VLOOKUP(A35,'[1]OverAll Performance'!$1:$150,2,)</f>
        <v>61</v>
      </c>
      <c r="G35" s="5">
        <f>VLOOKUP(A35,EData,6,)</f>
        <v>0.55636846224520997</v>
      </c>
    </row>
    <row r="36" spans="1:7" x14ac:dyDescent="0.35">
      <c r="A36" t="s">
        <v>187</v>
      </c>
      <c r="B36" t="s">
        <v>53</v>
      </c>
      <c r="C36" s="4">
        <f>TIMEVALUE(VLOOKUP(A36,EData,2,0))</f>
        <v>0.3442824074074074</v>
      </c>
      <c r="D36" s="4">
        <f>TIMEVALUE(VLOOKUP(A36,EData,3,0))</f>
        <v>0.20569444444444446</v>
      </c>
      <c r="E36" s="4">
        <f>TIMEVALUE(VLOOKUP(A36,BData,9,0))</f>
        <v>4.912037037037037E-2</v>
      </c>
      <c r="F36">
        <f>VLOOKUP(A36,'[1]OverAll Performance'!$1:$150,2,)</f>
        <v>60</v>
      </c>
      <c r="G36" s="5">
        <f>VLOOKUP(A36,EData,6,)</f>
        <v>0.527970147246689</v>
      </c>
    </row>
    <row r="37" spans="1:7" x14ac:dyDescent="0.35">
      <c r="A37" t="s">
        <v>188</v>
      </c>
      <c r="B37" t="s">
        <v>54</v>
      </c>
      <c r="C37" s="4">
        <f>TIMEVALUE(VLOOKUP(A37,EData,2,0))</f>
        <v>0.3439699074074074</v>
      </c>
      <c r="D37" s="4">
        <f>TIMEVALUE(VLOOKUP(A37,EData,3,0))</f>
        <v>0.20620370370370369</v>
      </c>
      <c r="E37" s="4">
        <f>TIMEVALUE(VLOOKUP(A37,BData,9,0))</f>
        <v>4.8923611111111112E-2</v>
      </c>
      <c r="F37">
        <f>VLOOKUP(A37,'[1]OverAll Performance'!$1:$150,2,)</f>
        <v>59</v>
      </c>
      <c r="G37" s="5">
        <f>VLOOKUP(A37,EData,6,)</f>
        <v>0.565025741108382</v>
      </c>
    </row>
    <row r="38" spans="1:7" x14ac:dyDescent="0.35">
      <c r="A38" t="s">
        <v>189</v>
      </c>
      <c r="B38" t="s">
        <v>55</v>
      </c>
      <c r="C38" s="4">
        <f>TIMEVALUE(VLOOKUP(A38,EData,2,0))</f>
        <v>0.34541666666666665</v>
      </c>
      <c r="D38" s="4">
        <f>TIMEVALUE(VLOOKUP(A38,EData,3,0))</f>
        <v>0.22590277777777779</v>
      </c>
      <c r="E38" s="4">
        <f>TIMEVALUE(VLOOKUP(A38,BData,9,0))</f>
        <v>4.8750000000000002E-2</v>
      </c>
      <c r="F38">
        <f>VLOOKUP(A38,'[1]OverAll Performance'!$1:$150,2,)</f>
        <v>58</v>
      </c>
      <c r="G38" s="5">
        <f>VLOOKUP(A38,EData,6,)</f>
        <v>0.48579278917035301</v>
      </c>
    </row>
    <row r="39" spans="1:7" x14ac:dyDescent="0.35">
      <c r="A39" t="s">
        <v>190</v>
      </c>
      <c r="B39" t="s">
        <v>56</v>
      </c>
      <c r="C39" s="4">
        <f>TIMEVALUE(VLOOKUP(A39,EData,2,0))</f>
        <v>0.34445601851851854</v>
      </c>
      <c r="D39" s="4">
        <f>TIMEVALUE(VLOOKUP(A39,EData,3,0))</f>
        <v>0.20725694444444445</v>
      </c>
      <c r="E39" s="4">
        <f>TIMEVALUE(VLOOKUP(A39,BData,9,0))</f>
        <v>4.6990740740740743E-2</v>
      </c>
      <c r="F39">
        <f>VLOOKUP(A39,'[1]OverAll Performance'!$1:$150,2,)</f>
        <v>57</v>
      </c>
      <c r="G39" s="5">
        <f>VLOOKUP(A39,EData,6,)</f>
        <v>0.572258996673499</v>
      </c>
    </row>
    <row r="40" spans="1:7" x14ac:dyDescent="0.35">
      <c r="A40" t="s">
        <v>191</v>
      </c>
      <c r="B40" t="s">
        <v>57</v>
      </c>
      <c r="C40" s="4">
        <f>TIMEVALUE(VLOOKUP(A40,EData,2,0))</f>
        <v>0.3334259259259259</v>
      </c>
      <c r="D40" s="4">
        <f>TIMEVALUE(VLOOKUP(A40,EData,3,0))</f>
        <v>0.16271990740740741</v>
      </c>
      <c r="E40" s="4">
        <f>TIMEVALUE(VLOOKUP(A40,BData,9,0))</f>
        <v>0.10062500000000001</v>
      </c>
      <c r="F40">
        <f>VLOOKUP(A40,'[1]OverAll Performance'!$1:$150,2,)</f>
        <v>56</v>
      </c>
      <c r="G40" s="5">
        <f>VLOOKUP(A40,EData,6,)</f>
        <v>0.46542627048042201</v>
      </c>
    </row>
    <row r="41" spans="1:7" x14ac:dyDescent="0.35">
      <c r="A41" t="s">
        <v>192</v>
      </c>
      <c r="B41" t="s">
        <v>58</v>
      </c>
      <c r="C41" s="4">
        <f>TIMEVALUE(VLOOKUP(A41,EData,2,0))</f>
        <v>0.20945601851851853</v>
      </c>
      <c r="D41" s="4">
        <f>TIMEVALUE(VLOOKUP(A41,EData,3,0))</f>
        <v>0.13993055555555556</v>
      </c>
      <c r="E41" s="4">
        <f>TIMEVALUE(VLOOKUP(A41,BData,9,0))</f>
        <v>1.0416666666666666E-2</v>
      </c>
      <c r="F41">
        <f>VLOOKUP(A41,'[1]OverAll Performance'!$1:$150,2,)</f>
        <v>55</v>
      </c>
      <c r="G41" s="5">
        <f>VLOOKUP(A41,EData,6,)</f>
        <v>0.64380836602751801</v>
      </c>
    </row>
    <row r="42" spans="1:7" x14ac:dyDescent="0.35">
      <c r="A42" t="s">
        <v>193</v>
      </c>
      <c r="B42" t="s">
        <v>59</v>
      </c>
      <c r="C42" s="4">
        <f>TIMEVALUE(VLOOKUP(A42,EData,2,0))</f>
        <v>0.35192129629629632</v>
      </c>
      <c r="D42" s="4">
        <f>TIMEVALUE(VLOOKUP(A42,EData,3,0))</f>
        <v>0.22140046296296295</v>
      </c>
      <c r="E42" s="4">
        <f>TIMEVALUE(VLOOKUP(A42,BData,9,0))</f>
        <v>4.8437500000000001E-2</v>
      </c>
      <c r="F42">
        <f>VLOOKUP(A42,'[1]OverAll Performance'!$1:$150,2,)</f>
        <v>54</v>
      </c>
      <c r="G42" s="5">
        <f>VLOOKUP(A42,EData,6,)</f>
        <v>0.57347234098533195</v>
      </c>
    </row>
    <row r="43" spans="1:7" x14ac:dyDescent="0.35">
      <c r="A43" t="s">
        <v>194</v>
      </c>
      <c r="B43" t="s">
        <v>60</v>
      </c>
      <c r="C43" s="4">
        <f>TIMEVALUE(VLOOKUP(A43,EData,2,0))</f>
        <v>0.32876157407407408</v>
      </c>
      <c r="D43" s="4">
        <f>TIMEVALUE(VLOOKUP(A43,EData,3,0))</f>
        <v>0.22660879629629629</v>
      </c>
      <c r="E43" s="4">
        <f>TIMEVALUE(VLOOKUP(A43,BData,9,0))</f>
        <v>3.9108796296296294E-2</v>
      </c>
      <c r="F43">
        <f>VLOOKUP(A43,'[1]OverAll Performance'!$1:$150,2,)</f>
        <v>53</v>
      </c>
      <c r="G43" s="5">
        <f>VLOOKUP(A43,EData,6,)</f>
        <v>0.64717479317021698</v>
      </c>
    </row>
    <row r="44" spans="1:7" x14ac:dyDescent="0.35">
      <c r="A44" t="s">
        <v>195</v>
      </c>
      <c r="B44" t="s">
        <v>61</v>
      </c>
      <c r="C44" s="4">
        <f>TIMEVALUE(VLOOKUP(A44,EData,2,0))</f>
        <v>0.33435185185185184</v>
      </c>
      <c r="D44" s="4">
        <f>TIMEVALUE(VLOOKUP(A44,EData,3,0))</f>
        <v>0.17586805555555557</v>
      </c>
      <c r="E44" s="4">
        <f>TIMEVALUE(VLOOKUP(A44,BData,9,0))</f>
        <v>9.0555555555555556E-2</v>
      </c>
      <c r="F44">
        <f>VLOOKUP(A44,'[1]OverAll Performance'!$1:$150,2,)</f>
        <v>52</v>
      </c>
      <c r="G44" s="5">
        <f>VLOOKUP(A44,EData,6,)</f>
        <v>0.50443090556632497</v>
      </c>
    </row>
    <row r="45" spans="1:7" x14ac:dyDescent="0.35">
      <c r="A45" t="s">
        <v>196</v>
      </c>
      <c r="B45" t="s">
        <v>62</v>
      </c>
      <c r="C45" s="4">
        <f>TIMEVALUE(VLOOKUP(A45,EData,2,0))</f>
        <v>0.34831018518518519</v>
      </c>
      <c r="D45" s="4">
        <f>TIMEVALUE(VLOOKUP(A45,EData,3,0))</f>
        <v>0.21436342592592592</v>
      </c>
      <c r="E45" s="4">
        <f>TIMEVALUE(VLOOKUP(A45,BData,9,0))</f>
        <v>4.8240740740740744E-2</v>
      </c>
      <c r="F45">
        <f>VLOOKUP(A45,'[1]OverAll Performance'!$1:$150,2,)</f>
        <v>51</v>
      </c>
      <c r="G45" s="5">
        <f>VLOOKUP(A45,EData,6,)</f>
        <v>0.55280122283511701</v>
      </c>
    </row>
    <row r="46" spans="1:7" x14ac:dyDescent="0.35">
      <c r="A46" t="s">
        <v>197</v>
      </c>
      <c r="B46" t="s">
        <v>63</v>
      </c>
      <c r="C46" s="4">
        <f>TIMEVALUE(VLOOKUP(A46,EData,2,0))</f>
        <v>0.34407407407407409</v>
      </c>
      <c r="D46" s="4">
        <f>TIMEVALUE(VLOOKUP(A46,EData,3,0))</f>
        <v>0.19798611111111111</v>
      </c>
      <c r="E46" s="4">
        <f>TIMEVALUE(VLOOKUP(A46,BData,9,0))</f>
        <v>4.8437500000000001E-2</v>
      </c>
      <c r="F46">
        <f>VLOOKUP(A46,'[1]OverAll Performance'!$1:$150,2,)</f>
        <v>50</v>
      </c>
      <c r="G46" s="5">
        <f>VLOOKUP(A46,EData,6,)</f>
        <v>0.55493137782561897</v>
      </c>
    </row>
    <row r="47" spans="1:7" x14ac:dyDescent="0.35">
      <c r="A47" t="s">
        <v>198</v>
      </c>
      <c r="B47" t="s">
        <v>64</v>
      </c>
      <c r="C47" s="4">
        <f>TIMEVALUE(VLOOKUP(A47,EData,2,0))</f>
        <v>0.33285879629629628</v>
      </c>
      <c r="D47" s="4">
        <f>TIMEVALUE(VLOOKUP(A47,EData,3,0))</f>
        <v>0.19598379629629631</v>
      </c>
      <c r="E47" s="4">
        <f>TIMEVALUE(VLOOKUP(A47,BData,9,0))</f>
        <v>4.8738425925925928E-2</v>
      </c>
      <c r="F47">
        <f>VLOOKUP(A47,'[1]OverAll Performance'!$1:$150,2,)</f>
        <v>49</v>
      </c>
      <c r="G47" s="5">
        <f>VLOOKUP(A47,EData,6,)</f>
        <v>0.55217497131332804</v>
      </c>
    </row>
    <row r="48" spans="1:7" x14ac:dyDescent="0.35">
      <c r="A48" t="s">
        <v>199</v>
      </c>
      <c r="B48" t="s">
        <v>65</v>
      </c>
      <c r="C48" s="4">
        <f>TIMEVALUE(VLOOKUP(A48,EData,2,0))</f>
        <v>0.20570601851851852</v>
      </c>
      <c r="D48" s="4">
        <f>TIMEVALUE(VLOOKUP(A48,EData,3,0))</f>
        <v>0.13252314814814814</v>
      </c>
      <c r="E48" s="4">
        <f>TIMEVALUE(VLOOKUP(A48,BData,9,0))</f>
        <v>1.2615740740740742E-2</v>
      </c>
      <c r="F48">
        <f>VLOOKUP(A48,'[1]OverAll Performance'!$1:$150,2,)</f>
        <v>48</v>
      </c>
      <c r="G48" s="5">
        <f>VLOOKUP(A48,EData,6,)</f>
        <v>0.58819557756147001</v>
      </c>
    </row>
    <row r="49" spans="1:7" x14ac:dyDescent="0.35">
      <c r="A49" t="s">
        <v>200</v>
      </c>
      <c r="B49" t="s">
        <v>66</v>
      </c>
      <c r="C49" s="4">
        <f>TIMEVALUE(VLOOKUP(A49,EData,2,0))</f>
        <v>0.32318287037037036</v>
      </c>
      <c r="D49" s="4">
        <f>TIMEVALUE(VLOOKUP(A49,EData,3,0))</f>
        <v>0.19381944444444443</v>
      </c>
      <c r="E49" s="4">
        <f>TIMEVALUE(VLOOKUP(A49,BData,9,0))</f>
        <v>5.1898148148148152E-2</v>
      </c>
      <c r="F49">
        <f>VLOOKUP(A49,'[1]OverAll Performance'!$1:$150,2,)</f>
        <v>47</v>
      </c>
      <c r="G49" s="5">
        <f>VLOOKUP(A49,EData,6,)</f>
        <v>0.55534863732407003</v>
      </c>
    </row>
    <row r="50" spans="1:7" x14ac:dyDescent="0.35">
      <c r="A50" t="s">
        <v>201</v>
      </c>
      <c r="B50" t="s">
        <v>67</v>
      </c>
      <c r="C50" s="4">
        <f>TIMEVALUE(VLOOKUP(A50,EData,2,0))</f>
        <v>0.33348379629629632</v>
      </c>
      <c r="D50" s="4">
        <f>TIMEVALUE(VLOOKUP(A50,EData,3,0))</f>
        <v>0.19890046296296296</v>
      </c>
      <c r="E50" s="4">
        <f>TIMEVALUE(VLOOKUP(A50,BData,9,0))</f>
        <v>4.8657407407407406E-2</v>
      </c>
      <c r="F50">
        <f>VLOOKUP(A50,'[1]OverAll Performance'!$1:$150,2,)</f>
        <v>46</v>
      </c>
      <c r="G50" s="5">
        <f>VLOOKUP(A50,EData,6,)</f>
        <v>0.55815083469267301</v>
      </c>
    </row>
    <row r="51" spans="1:7" x14ac:dyDescent="0.35">
      <c r="A51" t="s">
        <v>202</v>
      </c>
      <c r="B51" t="s">
        <v>68</v>
      </c>
      <c r="C51" s="4">
        <f>TIMEVALUE(VLOOKUP(A51,EData,2,0))</f>
        <v>0.34015046296296297</v>
      </c>
      <c r="D51" s="4">
        <f>TIMEVALUE(VLOOKUP(A51,EData,3,0))</f>
        <v>0.20222222222222222</v>
      </c>
      <c r="E51" s="4">
        <f>TIMEVALUE(VLOOKUP(A51,BData,9,0))</f>
        <v>4.8715277777777781E-2</v>
      </c>
      <c r="F51">
        <f>VLOOKUP(A51,'[1]OverAll Performance'!$1:$150,2,)</f>
        <v>45</v>
      </c>
      <c r="G51" s="5">
        <f>VLOOKUP(A51,EData,6,)</f>
        <v>0.53002824185919895</v>
      </c>
    </row>
    <row r="52" spans="1:7" x14ac:dyDescent="0.35">
      <c r="A52" t="s">
        <v>203</v>
      </c>
      <c r="B52" t="s">
        <v>69</v>
      </c>
      <c r="C52" s="4">
        <f>TIMEVALUE(VLOOKUP(A52,EData,2,0))</f>
        <v>0.34311342592592592</v>
      </c>
      <c r="D52" s="4">
        <f>TIMEVALUE(VLOOKUP(A52,EData,3,0))</f>
        <v>0.21112268518518518</v>
      </c>
      <c r="E52" s="4">
        <f>TIMEVALUE(VLOOKUP(A52,BData,9,0))</f>
        <v>4.9062500000000002E-2</v>
      </c>
      <c r="F52">
        <f>VLOOKUP(A52,'[1]OverAll Performance'!$1:$150,2,)</f>
        <v>44</v>
      </c>
      <c r="G52" s="5">
        <f>VLOOKUP(A52,EData,6,)</f>
        <v>0.54639905548996504</v>
      </c>
    </row>
    <row r="53" spans="1:7" x14ac:dyDescent="0.35">
      <c r="A53" t="s">
        <v>204</v>
      </c>
      <c r="B53" t="s">
        <v>70</v>
      </c>
      <c r="C53" s="4">
        <f>TIMEVALUE(VLOOKUP(A53,EData,2,0))</f>
        <v>0.32046296296296295</v>
      </c>
      <c r="D53" s="4">
        <f>TIMEVALUE(VLOOKUP(A53,EData,3,0))</f>
        <v>0.18484953703703705</v>
      </c>
      <c r="E53" s="4">
        <f>TIMEVALUE(VLOOKUP(A53,BData,9,0))</f>
        <v>4.9143518518518517E-2</v>
      </c>
      <c r="F53">
        <f>VLOOKUP(A53,'[1]OverAll Performance'!$1:$150,2,)</f>
        <v>43</v>
      </c>
      <c r="G53" s="5">
        <f>VLOOKUP(A53,EData,6,)</f>
        <v>0.52849609939323905</v>
      </c>
    </row>
    <row r="54" spans="1:7" x14ac:dyDescent="0.35">
      <c r="A54" t="s">
        <v>205</v>
      </c>
      <c r="B54" t="s">
        <v>13</v>
      </c>
      <c r="C54" s="4">
        <f>TIMEVALUE(VLOOKUP(A54,EData,2,0))</f>
        <v>0.33384259259259258</v>
      </c>
      <c r="D54" s="4">
        <f>TIMEVALUE(VLOOKUP(A54,EData,3,0))</f>
        <v>0.1867824074074074</v>
      </c>
      <c r="E54" s="4">
        <f>TIMEVALUE(VLOOKUP(A54,BData,9,0))</f>
        <v>4.853009259259259E-2</v>
      </c>
      <c r="F54">
        <f>VLOOKUP(A54,'[1]OverAll Performance'!$1:$150,2,)</f>
        <v>42</v>
      </c>
      <c r="G54" s="5">
        <f>VLOOKUP(A54,EData,6,)</f>
        <v>0.53279711551795905</v>
      </c>
    </row>
    <row r="55" spans="1:7" x14ac:dyDescent="0.35">
      <c r="A55" t="s">
        <v>206</v>
      </c>
      <c r="B55" t="s">
        <v>13</v>
      </c>
      <c r="C55" s="4">
        <f>TIMEVALUE(VLOOKUP(A55,EData,2,0))</f>
        <v>0.33012731481481483</v>
      </c>
      <c r="D55" s="4">
        <f>TIMEVALUE(VLOOKUP(A55,EData,3,0))</f>
        <v>0.18739583333333334</v>
      </c>
      <c r="E55" s="4">
        <f>TIMEVALUE(VLOOKUP(A55,BData,9,0))</f>
        <v>5.2766203703703704E-2</v>
      </c>
      <c r="F55">
        <f>VLOOKUP(A55,'[1]OverAll Performance'!$1:$150,2,)</f>
        <v>41</v>
      </c>
      <c r="G55" s="5">
        <f>VLOOKUP(A55,EData,6,)</f>
        <v>0.53150089401535605</v>
      </c>
    </row>
    <row r="56" spans="1:7" x14ac:dyDescent="0.35">
      <c r="A56" t="s">
        <v>207</v>
      </c>
      <c r="B56" t="s">
        <v>71</v>
      </c>
      <c r="C56" s="4">
        <f>TIMEVALUE(VLOOKUP(A56,EData,2,0))</f>
        <v>0.34032407407407406</v>
      </c>
      <c r="D56" s="4">
        <f>TIMEVALUE(VLOOKUP(A56,EData,3,0))</f>
        <v>0.21151620370370369</v>
      </c>
      <c r="E56" s="4">
        <f>TIMEVALUE(VLOOKUP(A56,BData,9,0))</f>
        <v>4.9756944444444444E-2</v>
      </c>
      <c r="F56">
        <f>VLOOKUP(A56,'[1]OverAll Performance'!$1:$150,2,)</f>
        <v>40</v>
      </c>
      <c r="G56" s="5">
        <f>VLOOKUP(A56,EData,6,)</f>
        <v>0.58954564004897303</v>
      </c>
    </row>
    <row r="57" spans="1:7" x14ac:dyDescent="0.35">
      <c r="A57" t="s">
        <v>208</v>
      </c>
      <c r="B57" t="s">
        <v>72</v>
      </c>
      <c r="C57" s="4">
        <f>TIMEVALUE(VLOOKUP(A57,EData,2,0))</f>
        <v>0.33714120370370371</v>
      </c>
      <c r="D57" s="4">
        <f>TIMEVALUE(VLOOKUP(A57,EData,3,0))</f>
        <v>0.13162037037037036</v>
      </c>
      <c r="E57" s="4">
        <f>TIMEVALUE(VLOOKUP(A57,BData,9,0))</f>
        <v>0.14913194444444444</v>
      </c>
      <c r="F57">
        <f>VLOOKUP(A57,'[1]OverAll Performance'!$1:$150,2,)</f>
        <v>39</v>
      </c>
      <c r="G57" s="5">
        <f>VLOOKUP(A57,EData,6,)</f>
        <v>0.34903360911806097</v>
      </c>
    </row>
    <row r="58" spans="1:7" x14ac:dyDescent="0.35">
      <c r="A58" t="s">
        <v>209</v>
      </c>
      <c r="B58" t="s">
        <v>73</v>
      </c>
      <c r="C58" s="4">
        <f>TIMEVALUE(VLOOKUP(A58,EData,2,0))</f>
        <v>0.34364583333333332</v>
      </c>
      <c r="D58" s="4">
        <f>TIMEVALUE(VLOOKUP(A58,EData,3,0))</f>
        <v>0.17246527777777779</v>
      </c>
      <c r="E58" s="4">
        <f>TIMEVALUE(VLOOKUP(A58,BData,9,0))</f>
        <v>9.194444444444444E-2</v>
      </c>
      <c r="F58">
        <f>VLOOKUP(A58,'[1]OverAll Performance'!$1:$150,2,)</f>
        <v>38</v>
      </c>
      <c r="G58" s="5">
        <f>VLOOKUP(A58,EData,6,)</f>
        <v>0.47933717288067101</v>
      </c>
    </row>
    <row r="59" spans="1:7" x14ac:dyDescent="0.35">
      <c r="A59" t="s">
        <v>210</v>
      </c>
      <c r="B59" t="s">
        <v>74</v>
      </c>
      <c r="C59" s="4">
        <f>TIMEVALUE(VLOOKUP(A59,EData,2,0))</f>
        <v>0.21915509259259258</v>
      </c>
      <c r="D59" s="4">
        <f>TIMEVALUE(VLOOKUP(A59,EData,3,0))</f>
        <v>0.15189814814814814</v>
      </c>
      <c r="E59" s="4">
        <f>TIMEVALUE(VLOOKUP(A59,BData,9,0))</f>
        <v>1.0821759259259258E-2</v>
      </c>
      <c r="F59">
        <f>VLOOKUP(A59,'[1]OverAll Performance'!$1:$150,2,)</f>
        <v>37</v>
      </c>
      <c r="G59" s="5">
        <f>VLOOKUP(A59,EData,6,)</f>
        <v>0.62762080802746201</v>
      </c>
    </row>
    <row r="60" spans="1:7" x14ac:dyDescent="0.35">
      <c r="A60" t="s">
        <v>211</v>
      </c>
      <c r="B60" t="s">
        <v>75</v>
      </c>
      <c r="C60" s="4">
        <f>TIMEVALUE(VLOOKUP(A60,EData,2,0))</f>
        <v>0.3417824074074074</v>
      </c>
      <c r="D60" s="4">
        <f>TIMEVALUE(VLOOKUP(A60,EData,3,0))</f>
        <v>0.17645833333333333</v>
      </c>
      <c r="E60" s="4">
        <f>TIMEVALUE(VLOOKUP(A60,BData,9,0))</f>
        <v>9.2442129629629624E-2</v>
      </c>
      <c r="F60">
        <f>VLOOKUP(A60,'[1]OverAll Performance'!$1:$150,2,)</f>
        <v>36</v>
      </c>
      <c r="G60" s="5">
        <f>VLOOKUP(A60,EData,6,)</f>
        <v>0.47561801557737898</v>
      </c>
    </row>
    <row r="61" spans="1:7" x14ac:dyDescent="0.35">
      <c r="A61" t="s">
        <v>212</v>
      </c>
      <c r="B61" t="s">
        <v>76</v>
      </c>
      <c r="C61" s="4">
        <f>TIMEVALUE(VLOOKUP(A61,EData,2,0))</f>
        <v>0.33370370370370372</v>
      </c>
      <c r="D61" s="4">
        <f>TIMEVALUE(VLOOKUP(A61,EData,3,0))</f>
        <v>0.16336805555555556</v>
      </c>
      <c r="E61" s="4">
        <f>TIMEVALUE(VLOOKUP(A61,BData,9,0))</f>
        <v>0.11005787037037038</v>
      </c>
      <c r="F61">
        <f>VLOOKUP(A61,'[1]OverAll Performance'!$1:$150,2,)</f>
        <v>35</v>
      </c>
      <c r="G61" s="5">
        <f>VLOOKUP(A61,EData,6,)</f>
        <v>0.43635543840177599</v>
      </c>
    </row>
    <row r="62" spans="1:7" x14ac:dyDescent="0.35">
      <c r="A62" t="s">
        <v>213</v>
      </c>
      <c r="B62" t="s">
        <v>77</v>
      </c>
      <c r="C62" s="4">
        <f>TIMEVALUE(VLOOKUP(A62,EData,2,0))</f>
        <v>0.33026620370370369</v>
      </c>
      <c r="D62" s="4">
        <f>TIMEVALUE(VLOOKUP(A62,EData,3,0))</f>
        <v>0.16021990740740741</v>
      </c>
      <c r="E62" s="4">
        <f>TIMEVALUE(VLOOKUP(A62,BData,9,0))</f>
        <v>0.10043981481481482</v>
      </c>
      <c r="F62">
        <f>VLOOKUP(A62,'[1]OverAll Performance'!$1:$150,2,)</f>
        <v>34</v>
      </c>
      <c r="G62" s="5">
        <f>VLOOKUP(A62,EData,6,)</f>
        <v>0.451270369721395</v>
      </c>
    </row>
    <row r="63" spans="1:7" x14ac:dyDescent="0.35">
      <c r="A63" t="s">
        <v>214</v>
      </c>
      <c r="B63" t="s">
        <v>78</v>
      </c>
      <c r="C63" s="4">
        <f>TIMEVALUE(VLOOKUP(A63,EData,2,0))</f>
        <v>0.20910879629629631</v>
      </c>
      <c r="D63" s="4">
        <f>TIMEVALUE(VLOOKUP(A63,EData,3,0))</f>
        <v>0.13449074074074074</v>
      </c>
      <c r="E63" s="4">
        <f>TIMEVALUE(VLOOKUP(A63,BData,9,0))</f>
        <v>2.0532407407407409E-2</v>
      </c>
      <c r="F63">
        <f>VLOOKUP(A63,'[1]OverAll Performance'!$1:$150,2,)</f>
        <v>33</v>
      </c>
      <c r="G63" s="5">
        <f>VLOOKUP(A63,EData,6,)</f>
        <v>0.61244257486024201</v>
      </c>
    </row>
    <row r="64" spans="1:7" x14ac:dyDescent="0.35">
      <c r="A64" t="s">
        <v>215</v>
      </c>
      <c r="B64" t="s">
        <v>79</v>
      </c>
      <c r="C64" s="4">
        <f>TIMEVALUE(VLOOKUP(A64,EData,2,0))</f>
        <v>0.34836805555555556</v>
      </c>
      <c r="D64" s="4">
        <f>TIMEVALUE(VLOOKUP(A64,EData,3,0))</f>
        <v>0.19697916666666668</v>
      </c>
      <c r="E64" s="4">
        <f>TIMEVALUE(VLOOKUP(A64,BData,9,0))</f>
        <v>5.1423611111111114E-2</v>
      </c>
      <c r="F64">
        <f>VLOOKUP(A64,'[1]OverAll Performance'!$1:$150,2,)</f>
        <v>32</v>
      </c>
      <c r="G64" s="5">
        <f>VLOOKUP(A64,EData,6,)</f>
        <v>0.51755872288115901</v>
      </c>
    </row>
    <row r="65" spans="1:7" x14ac:dyDescent="0.35">
      <c r="A65" t="s">
        <v>216</v>
      </c>
      <c r="B65" t="s">
        <v>80</v>
      </c>
      <c r="C65" s="4">
        <f>TIMEVALUE(VLOOKUP(A65,EData,2,0))</f>
        <v>0.34686342592592595</v>
      </c>
      <c r="D65" s="4">
        <f>TIMEVALUE(VLOOKUP(A65,EData,3,0))</f>
        <v>0.20438657407407407</v>
      </c>
      <c r="E65" s="4">
        <f>TIMEVALUE(VLOOKUP(A65,BData,9,0))</f>
        <v>4.7534722222222221E-2</v>
      </c>
      <c r="F65">
        <f>VLOOKUP(A65,'[1]OverAll Performance'!$1:$150,2,)</f>
        <v>31</v>
      </c>
      <c r="G65" s="5">
        <f>VLOOKUP(A65,EData,6,)</f>
        <v>0.55550735760285597</v>
      </c>
    </row>
    <row r="66" spans="1:7" x14ac:dyDescent="0.35">
      <c r="A66" t="s">
        <v>217</v>
      </c>
      <c r="B66" t="s">
        <v>81</v>
      </c>
      <c r="C66" s="4">
        <f>TIMEVALUE(VLOOKUP(A66,EData,2,0))</f>
        <v>0.34806712962962966</v>
      </c>
      <c r="D66" s="4">
        <f>TIMEVALUE(VLOOKUP(A66,EData,3,0))</f>
        <v>0.19177083333333333</v>
      </c>
      <c r="E66" s="4">
        <f>TIMEVALUE(VLOOKUP(A66,BData,9,0))</f>
        <v>9.3958333333333338E-2</v>
      </c>
      <c r="F66">
        <f>VLOOKUP(A66,'[1]OverAll Performance'!$1:$150,2,)</f>
        <v>30</v>
      </c>
      <c r="G66" s="5">
        <f>VLOOKUP(A66,EData,6,)</f>
        <v>0.45535862734013899</v>
      </c>
    </row>
    <row r="67" spans="1:7" x14ac:dyDescent="0.35">
      <c r="A67" t="s">
        <v>218</v>
      </c>
      <c r="B67" t="s">
        <v>82</v>
      </c>
      <c r="C67" s="4">
        <f>TIMEVALUE(VLOOKUP(A67,EData,2,0))</f>
        <v>0.3349537037037037</v>
      </c>
      <c r="D67" s="4">
        <f>TIMEVALUE(VLOOKUP(A67,EData,3,0))</f>
        <v>0.19739583333333333</v>
      </c>
      <c r="E67" s="4">
        <f>TIMEVALUE(VLOOKUP(A67,BData,9,0))</f>
        <v>4.8645833333333333E-2</v>
      </c>
      <c r="F67">
        <f>VLOOKUP(A67,'[1]OverAll Performance'!$1:$150,2,)</f>
        <v>29</v>
      </c>
      <c r="G67" s="5">
        <f>VLOOKUP(A67,EData,6,)</f>
        <v>0.53445058742225304</v>
      </c>
    </row>
    <row r="68" spans="1:7" x14ac:dyDescent="0.35">
      <c r="A68" t="s">
        <v>219</v>
      </c>
      <c r="B68" t="s">
        <v>83</v>
      </c>
      <c r="C68" s="4">
        <f>TIMEVALUE(VLOOKUP(A68,EData,2,0))</f>
        <v>0.34497685185185184</v>
      </c>
      <c r="D68" s="4">
        <f>TIMEVALUE(VLOOKUP(A68,EData,3,0))</f>
        <v>0.20746527777777779</v>
      </c>
      <c r="E68" s="4">
        <f>TIMEVALUE(VLOOKUP(A68,BData,9,0))</f>
        <v>6.7650462962962968E-2</v>
      </c>
      <c r="F68">
        <f>VLOOKUP(A68,'[1]OverAll Performance'!$1:$150,2,)</f>
        <v>28</v>
      </c>
      <c r="G68" s="5">
        <f>VLOOKUP(A68,EData,6,)</f>
        <v>0.55914916459773201</v>
      </c>
    </row>
    <row r="69" spans="1:7" x14ac:dyDescent="0.35">
      <c r="A69" t="s">
        <v>220</v>
      </c>
      <c r="B69" t="s">
        <v>84</v>
      </c>
      <c r="C69" s="4">
        <f>TIMEVALUE(VLOOKUP(A69,EData,2,0))</f>
        <v>0.33376157407407409</v>
      </c>
      <c r="D69" s="4">
        <f>TIMEVALUE(VLOOKUP(A69,EData,3,0))</f>
        <v>0.19787037037037036</v>
      </c>
      <c r="E69" s="4">
        <f>TIMEVALUE(VLOOKUP(A69,BData,9,0))</f>
        <v>4.853009259259259E-2</v>
      </c>
      <c r="F69">
        <f>VLOOKUP(A69,'[1]OverAll Performance'!$1:$150,2,)</f>
        <v>29</v>
      </c>
      <c r="G69" s="5">
        <f>VLOOKUP(A69,EData,6,)</f>
        <v>0.56847106148351101</v>
      </c>
    </row>
    <row r="70" spans="1:7" x14ac:dyDescent="0.35">
      <c r="A70" t="s">
        <v>221</v>
      </c>
      <c r="B70" t="s">
        <v>85</v>
      </c>
      <c r="C70" s="4">
        <f>TIMEVALUE(VLOOKUP(A70,EData,2,0))</f>
        <v>0.33037037037037037</v>
      </c>
      <c r="D70" s="4">
        <f>TIMEVALUE(VLOOKUP(A70,EData,3,0))</f>
        <v>0.18496527777777777</v>
      </c>
      <c r="E70" s="4">
        <f>TIMEVALUE(VLOOKUP(A70,BData,9,0))</f>
        <v>6.6701388888888893E-2</v>
      </c>
      <c r="F70">
        <f>VLOOKUP(A70,'[1]OverAll Performance'!$1:$150,2,)</f>
        <v>30</v>
      </c>
      <c r="G70" s="5">
        <f>VLOOKUP(A70,EData,6,)</f>
        <v>0.47509108744394601</v>
      </c>
    </row>
    <row r="71" spans="1:7" x14ac:dyDescent="0.35">
      <c r="A71" t="s">
        <v>222</v>
      </c>
      <c r="B71" t="s">
        <v>86</v>
      </c>
      <c r="C71" s="4">
        <f>TIMEVALUE(VLOOKUP(A71,EData,2,0))</f>
        <v>0.34008101851851852</v>
      </c>
      <c r="D71" s="4">
        <f>TIMEVALUE(VLOOKUP(A71,EData,3,0))</f>
        <v>0.16811342592592593</v>
      </c>
      <c r="E71" s="4">
        <f>TIMEVALUE(VLOOKUP(A71,BData,9,0))</f>
        <v>9.1597222222222219E-2</v>
      </c>
      <c r="F71">
        <f>VLOOKUP(A71,'[1]OverAll Performance'!$1:$150,2,)</f>
        <v>31</v>
      </c>
      <c r="G71" s="5">
        <f>VLOOKUP(A71,EData,6,)</f>
        <v>0.47578531804104401</v>
      </c>
    </row>
    <row r="72" spans="1:7" x14ac:dyDescent="0.35">
      <c r="A72" t="s">
        <v>223</v>
      </c>
      <c r="B72" t="s">
        <v>87</v>
      </c>
      <c r="C72" s="4">
        <f>TIMEVALUE(VLOOKUP(A72,EData,2,0))</f>
        <v>0.33415509259259257</v>
      </c>
      <c r="D72" s="4">
        <f>TIMEVALUE(VLOOKUP(A72,EData,3,0))</f>
        <v>0.16863425925925926</v>
      </c>
      <c r="E72" s="4">
        <f>TIMEVALUE(VLOOKUP(A72,BData,9,0))</f>
        <v>0.10168981481481482</v>
      </c>
      <c r="F72">
        <f>VLOOKUP(A72,'[1]OverAll Performance'!$1:$150,2,)</f>
        <v>32</v>
      </c>
      <c r="G72" s="5">
        <f>VLOOKUP(A72,EData,6,)</f>
        <v>0.46898271622042897</v>
      </c>
    </row>
    <row r="73" spans="1:7" x14ac:dyDescent="0.35">
      <c r="A73" t="s">
        <v>224</v>
      </c>
      <c r="B73" t="s">
        <v>88</v>
      </c>
      <c r="C73" s="4">
        <f>TIMEVALUE(VLOOKUP(A73,EData,2,0))</f>
        <v>0.34437499999999999</v>
      </c>
      <c r="D73" s="4">
        <f>TIMEVALUE(VLOOKUP(A73,EData,3,0))</f>
        <v>0.18534722222222222</v>
      </c>
      <c r="E73" s="4">
        <f>TIMEVALUE(VLOOKUP(A73,BData,9,0))</f>
        <v>8.0162037037037032E-2</v>
      </c>
      <c r="F73">
        <f>VLOOKUP(A73,'[1]OverAll Performance'!$1:$150,2,)</f>
        <v>33</v>
      </c>
      <c r="G73" s="5">
        <f>VLOOKUP(A73,EData,6,)</f>
        <v>0.51361161524500898</v>
      </c>
    </row>
    <row r="74" spans="1:7" x14ac:dyDescent="0.35">
      <c r="A74" t="s">
        <v>225</v>
      </c>
      <c r="B74" t="s">
        <v>89</v>
      </c>
      <c r="C74" s="4">
        <f>TIMEVALUE(VLOOKUP(A74,EData,2,0))</f>
        <v>0.3558101851851852</v>
      </c>
      <c r="D74" s="4">
        <f>TIMEVALUE(VLOOKUP(A74,EData,3,0))</f>
        <v>0.21642361111111111</v>
      </c>
      <c r="E74" s="4">
        <f>TIMEVALUE(VLOOKUP(A74,BData,9,0))</f>
        <v>6.8541666666666667E-2</v>
      </c>
      <c r="F74">
        <f>VLOOKUP(A74,'[1]OverAll Performance'!$1:$150,2,)</f>
        <v>34</v>
      </c>
      <c r="G74" s="5">
        <f>VLOOKUP(A74,EData,6,)</f>
        <v>0.525112224318522</v>
      </c>
    </row>
    <row r="75" spans="1:7" x14ac:dyDescent="0.35">
      <c r="A75" t="s">
        <v>226</v>
      </c>
      <c r="B75" t="s">
        <v>90</v>
      </c>
      <c r="C75" s="4">
        <f>TIMEVALUE(VLOOKUP(A75,EData,2,0))</f>
        <v>0.34848379629629628</v>
      </c>
      <c r="D75" s="4">
        <f>TIMEVALUE(VLOOKUP(A75,EData,3,0))</f>
        <v>0.12767361111111111</v>
      </c>
      <c r="E75" s="4">
        <f>TIMEVALUE(VLOOKUP(A75,BData,9,0))</f>
        <v>0.17460648148148147</v>
      </c>
      <c r="F75">
        <f>VLOOKUP(A75,'[1]OverAll Performance'!$1:$150,2,)</f>
        <v>35</v>
      </c>
      <c r="G75" s="5">
        <f>VLOOKUP(A75,EData,6,)</f>
        <v>0.348600086352918</v>
      </c>
    </row>
    <row r="76" spans="1:7" x14ac:dyDescent="0.35">
      <c r="A76" t="s">
        <v>227</v>
      </c>
      <c r="B76" t="s">
        <v>91</v>
      </c>
      <c r="C76" s="4">
        <f>TIMEVALUE(VLOOKUP(A76,EData,2,0))</f>
        <v>0.35092592592592592</v>
      </c>
      <c r="D76" s="4">
        <f>TIMEVALUE(VLOOKUP(A76,EData,3,0))</f>
        <v>0.12086805555555556</v>
      </c>
      <c r="E76" s="4">
        <f>TIMEVALUE(VLOOKUP(A76,BData,9,0))</f>
        <v>0.18131944444444445</v>
      </c>
      <c r="F76">
        <f>VLOOKUP(A76,'[1]OverAll Performance'!$1:$150,2,)</f>
        <v>36</v>
      </c>
      <c r="G76" s="5">
        <f>VLOOKUP(A76,EData,6,)</f>
        <v>0.314709762532982</v>
      </c>
    </row>
    <row r="77" spans="1:7" x14ac:dyDescent="0.35">
      <c r="A77" t="s">
        <v>228</v>
      </c>
      <c r="B77" t="s">
        <v>92</v>
      </c>
      <c r="C77" s="4">
        <f>TIMEVALUE(VLOOKUP(A77,EData,2,0))</f>
        <v>0.33891203703703704</v>
      </c>
      <c r="D77" s="4">
        <f>TIMEVALUE(VLOOKUP(A77,EData,3,0))</f>
        <v>0.21581018518518519</v>
      </c>
      <c r="E77" s="4">
        <f>TIMEVALUE(VLOOKUP(A77,BData,9,0))</f>
        <v>4.8900462962962965E-2</v>
      </c>
      <c r="F77">
        <f>VLOOKUP(A77,'[1]OverAll Performance'!$1:$150,2,)</f>
        <v>37</v>
      </c>
      <c r="G77" s="5">
        <f>VLOOKUP(A77,EData,6,)</f>
        <v>0.55600710333993597</v>
      </c>
    </row>
    <row r="78" spans="1:7" x14ac:dyDescent="0.35">
      <c r="A78" t="s">
        <v>229</v>
      </c>
      <c r="B78" t="s">
        <v>93</v>
      </c>
      <c r="C78" s="4">
        <f>TIMEVALUE(VLOOKUP(A78,EData,2,0))</f>
        <v>0.34675925925925927</v>
      </c>
      <c r="D78" s="4">
        <f>TIMEVALUE(VLOOKUP(A78,EData,3,0))</f>
        <v>0.17275462962962962</v>
      </c>
      <c r="E78" s="4">
        <f>TIMEVALUE(VLOOKUP(A78,BData,9,0))</f>
        <v>0.10935185185185185</v>
      </c>
      <c r="F78">
        <f>VLOOKUP(A78,'[1]OverAll Performance'!$1:$150,2,)</f>
        <v>38</v>
      </c>
      <c r="G78" s="5">
        <f>VLOOKUP(A78,EData,6,)</f>
        <v>0.46221628838451301</v>
      </c>
    </row>
    <row r="79" spans="1:7" x14ac:dyDescent="0.35">
      <c r="A79" t="s">
        <v>230</v>
      </c>
      <c r="B79" t="s">
        <v>94</v>
      </c>
      <c r="C79" s="4">
        <f>TIMEVALUE(VLOOKUP(A79,EData,2,0))</f>
        <v>0.3511111111111111</v>
      </c>
      <c r="D79" s="4">
        <f>TIMEVALUE(VLOOKUP(A79,EData,3,0))</f>
        <v>0.15339120370370371</v>
      </c>
      <c r="E79" s="4">
        <f>TIMEVALUE(VLOOKUP(A79,BData,9,0))</f>
        <v>0.13890046296296296</v>
      </c>
      <c r="F79">
        <f>VLOOKUP(A79,'[1]OverAll Performance'!$1:$150,2,)</f>
        <v>39</v>
      </c>
      <c r="G79" s="5">
        <f>VLOOKUP(A79,EData,6,)</f>
        <v>0.39075685654008402</v>
      </c>
    </row>
    <row r="80" spans="1:7" x14ac:dyDescent="0.35">
      <c r="A80" t="s">
        <v>231</v>
      </c>
      <c r="B80" t="s">
        <v>95</v>
      </c>
      <c r="C80" s="4">
        <f>TIMEVALUE(VLOOKUP(A80,EData,2,0))</f>
        <v>0.3447453703703704</v>
      </c>
      <c r="D80" s="4">
        <f>TIMEVALUE(VLOOKUP(A80,EData,3,0))</f>
        <v>0.21947916666666667</v>
      </c>
      <c r="E80" s="4">
        <f>TIMEVALUE(VLOOKUP(A80,BData,9,0))</f>
        <v>4.7592592592592596E-2</v>
      </c>
      <c r="F80">
        <f>VLOOKUP(A80,'[1]OverAll Performance'!$1:$150,2,)</f>
        <v>40</v>
      </c>
      <c r="G80" s="5">
        <f>VLOOKUP(A80,EData,6,)</f>
        <v>0.54713623850130899</v>
      </c>
    </row>
    <row r="81" spans="1:7" x14ac:dyDescent="0.35">
      <c r="A81" t="s">
        <v>232</v>
      </c>
      <c r="B81" t="s">
        <v>96</v>
      </c>
      <c r="C81" s="4">
        <f>TIMEVALUE(VLOOKUP(A81,EData,2,0))</f>
        <v>0.3167476851851852</v>
      </c>
      <c r="D81" s="4">
        <f>TIMEVALUE(VLOOKUP(A81,EData,3,0))</f>
        <v>0.21346064814814814</v>
      </c>
      <c r="E81" s="4">
        <f>TIMEVALUE(VLOOKUP(A81,BData,9,0))</f>
        <v>2.1064814814814814E-2</v>
      </c>
      <c r="F81">
        <f>VLOOKUP(A81,'[1]OverAll Performance'!$1:$150,2,)</f>
        <v>41</v>
      </c>
      <c r="G81" s="5">
        <f>VLOOKUP(A81,EData,6,)</f>
        <v>0.61457229509993805</v>
      </c>
    </row>
    <row r="82" spans="1:7" x14ac:dyDescent="0.35">
      <c r="A82" t="s">
        <v>233</v>
      </c>
      <c r="B82" t="s">
        <v>97</v>
      </c>
      <c r="C82" s="4">
        <f>TIMEVALUE(VLOOKUP(A82,EData,2,0))</f>
        <v>0.34024305555555556</v>
      </c>
      <c r="D82" s="4">
        <f>TIMEVALUE(VLOOKUP(A82,EData,3,0))</f>
        <v>0.21100694444444446</v>
      </c>
      <c r="E82" s="4">
        <f>TIMEVALUE(VLOOKUP(A82,BData,9,0))</f>
        <v>4.7731481481481479E-2</v>
      </c>
      <c r="F82">
        <f>VLOOKUP(A82,'[1]OverAll Performance'!$1:$150,2,)</f>
        <v>42</v>
      </c>
      <c r="G82" s="5">
        <f>VLOOKUP(A82,EData,6,)</f>
        <v>0.55335578460387103</v>
      </c>
    </row>
    <row r="83" spans="1:7" x14ac:dyDescent="0.35">
      <c r="A83" t="s">
        <v>234</v>
      </c>
      <c r="B83" t="s">
        <v>98</v>
      </c>
      <c r="C83" s="4">
        <f>TIMEVALUE(VLOOKUP(A83,EData,2,0))</f>
        <v>0.33611111111111114</v>
      </c>
      <c r="D83" s="4">
        <f>TIMEVALUE(VLOOKUP(A83,EData,3,0))</f>
        <v>0.21214120370370371</v>
      </c>
      <c r="E83" s="4">
        <f>TIMEVALUE(VLOOKUP(A83,BData,9,0))</f>
        <v>4.7500000000000001E-2</v>
      </c>
      <c r="F83">
        <f>VLOOKUP(A83,'[1]OverAll Performance'!$1:$150,2,)</f>
        <v>43</v>
      </c>
      <c r="G83" s="5">
        <f>VLOOKUP(A83,EData,6,)</f>
        <v>0.611363636363636</v>
      </c>
    </row>
    <row r="84" spans="1:7" x14ac:dyDescent="0.35">
      <c r="A84" t="s">
        <v>235</v>
      </c>
      <c r="B84" t="s">
        <v>99</v>
      </c>
      <c r="C84" s="4">
        <f>TIMEVALUE(VLOOKUP(A84,EData,2,0))</f>
        <v>0.3331365740740741</v>
      </c>
      <c r="D84" s="4">
        <f>TIMEVALUE(VLOOKUP(A84,EData,3,0))</f>
        <v>0.18670138888888888</v>
      </c>
      <c r="E84" s="4">
        <f>TIMEVALUE(VLOOKUP(A84,BData,9,0))</f>
        <v>6.7430555555555549E-2</v>
      </c>
      <c r="F84">
        <f>VLOOKUP(A84,'[1]OverAll Performance'!$1:$150,2,)</f>
        <v>44</v>
      </c>
      <c r="G84" s="5">
        <f>VLOOKUP(A84,EData,6,)</f>
        <v>0.51217732689434703</v>
      </c>
    </row>
    <row r="85" spans="1:7" x14ac:dyDescent="0.35">
      <c r="A85" t="s">
        <v>236</v>
      </c>
      <c r="B85" t="s">
        <v>100</v>
      </c>
      <c r="C85" s="4">
        <f>TIMEVALUE(VLOOKUP(A85,EData,2,0))</f>
        <v>0.35135416666666669</v>
      </c>
      <c r="D85" s="4">
        <f>TIMEVALUE(VLOOKUP(A85,EData,3,0))</f>
        <v>0.20708333333333334</v>
      </c>
      <c r="E85" s="4">
        <f>TIMEVALUE(VLOOKUP(A85,BData,9,0))</f>
        <v>5.4953703703703706E-2</v>
      </c>
      <c r="F85">
        <f>VLOOKUP(A85,'[1]OverAll Performance'!$1:$150,2,)</f>
        <v>45</v>
      </c>
      <c r="G85" s="5">
        <f>VLOOKUP(A85,EData,6,)</f>
        <v>0.56029910728991705</v>
      </c>
    </row>
    <row r="86" spans="1:7" x14ac:dyDescent="0.35">
      <c r="A86" t="s">
        <v>237</v>
      </c>
      <c r="B86" t="s">
        <v>101</v>
      </c>
      <c r="C86" s="4">
        <f>TIMEVALUE(VLOOKUP(A86,EData,2,0))</f>
        <v>0.34356481481481482</v>
      </c>
      <c r="D86" s="4">
        <f>TIMEVALUE(VLOOKUP(A86,EData,3,0))</f>
        <v>0.16344907407407408</v>
      </c>
      <c r="E86" s="4">
        <f>TIMEVALUE(VLOOKUP(A86,BData,9,0))</f>
        <v>0.10712962962962963</v>
      </c>
      <c r="F86">
        <f>VLOOKUP(A86,'[1]OverAll Performance'!$1:$150,2,)</f>
        <v>46</v>
      </c>
      <c r="G86" s="5">
        <f>VLOOKUP(A86,EData,6,)</f>
        <v>0.42891793558819602</v>
      </c>
    </row>
    <row r="87" spans="1:7" x14ac:dyDescent="0.35">
      <c r="A87" t="s">
        <v>238</v>
      </c>
      <c r="B87" t="s">
        <v>102</v>
      </c>
      <c r="C87" s="4">
        <f>TIMEVALUE(VLOOKUP(A87,EData,2,0))</f>
        <v>0.34900462962962964</v>
      </c>
      <c r="D87" s="4">
        <f>TIMEVALUE(VLOOKUP(A87,EData,3,0))</f>
        <v>3.3715277777777775E-2</v>
      </c>
      <c r="E87" s="4">
        <f>TIMEVALUE(VLOOKUP(A87,BData,9,0))</f>
        <v>0.29744212962962963</v>
      </c>
      <c r="F87">
        <f>VLOOKUP(A87,'[1]OverAll Performance'!$1:$150,2,)</f>
        <v>47</v>
      </c>
      <c r="G87" s="5">
        <f>VLOOKUP(A87,EData,6,)</f>
        <v>9.4547987000066294E-2</v>
      </c>
    </row>
    <row r="88" spans="1:7" x14ac:dyDescent="0.35">
      <c r="A88" t="s">
        <v>239</v>
      </c>
      <c r="B88" t="s">
        <v>16</v>
      </c>
      <c r="C88" s="4">
        <f>TIMEVALUE(VLOOKUP(A88,EData,2,0))</f>
        <v>0.33378472222222222</v>
      </c>
      <c r="D88" s="4">
        <f>TIMEVALUE(VLOOKUP(A88,EData,3,0))</f>
        <v>0.21655092592592592</v>
      </c>
      <c r="E88" s="4">
        <f>TIMEVALUE(VLOOKUP(A88,BData,9,0))</f>
        <v>5.0046296296296297E-2</v>
      </c>
      <c r="F88">
        <f>VLOOKUP(A88,'[1]OverAll Performance'!$1:$150,2,)</f>
        <v>48</v>
      </c>
      <c r="G88" s="5">
        <f>VLOOKUP(A88,EData,6,)</f>
        <v>0.61021533340268397</v>
      </c>
    </row>
    <row r="89" spans="1:7" x14ac:dyDescent="0.35">
      <c r="A89" t="s">
        <v>240</v>
      </c>
      <c r="B89" t="s">
        <v>16</v>
      </c>
      <c r="C89" s="4">
        <f>TIMEVALUE(VLOOKUP(A89,EData,2,0))</f>
        <v>0.34559027777777779</v>
      </c>
      <c r="D89" s="4">
        <f>TIMEVALUE(VLOOKUP(A89,EData,3,0))</f>
        <v>0.2011574074074074</v>
      </c>
      <c r="E89" s="4">
        <f>TIMEVALUE(VLOOKUP(A89,BData,9,0))</f>
        <v>8.790509259259259E-2</v>
      </c>
      <c r="F89">
        <f>VLOOKUP(A89,'[1]OverAll Performance'!$1:$150,2,)</f>
        <v>49</v>
      </c>
      <c r="G89" s="5">
        <f>VLOOKUP(A89,EData,6,)</f>
        <v>0.51260926353863201</v>
      </c>
    </row>
    <row r="90" spans="1:7" x14ac:dyDescent="0.35">
      <c r="A90" t="s">
        <v>241</v>
      </c>
      <c r="B90" t="s">
        <v>103</v>
      </c>
      <c r="C90" s="4">
        <f>TIMEVALUE(VLOOKUP(A90,EData,2,0))</f>
        <v>0.2114699074074074</v>
      </c>
      <c r="D90" s="4">
        <f>TIMEVALUE(VLOOKUP(A90,EData,3,0))</f>
        <v>0.14190972222222223</v>
      </c>
      <c r="E90" s="4">
        <f>TIMEVALUE(VLOOKUP(A90,BData,9,0))</f>
        <v>1.6979166666666667E-2</v>
      </c>
      <c r="F90">
        <f>VLOOKUP(A90,'[1]OverAll Performance'!$1:$150,2,)</f>
        <v>50</v>
      </c>
      <c r="G90" s="5">
        <f>VLOOKUP(A90,EData,6,)</f>
        <v>0.62426796562859199</v>
      </c>
    </row>
    <row r="91" spans="1:7" x14ac:dyDescent="0.35">
      <c r="A91" t="s">
        <v>242</v>
      </c>
      <c r="B91" t="s">
        <v>104</v>
      </c>
      <c r="C91" s="4">
        <f>TIMEVALUE(VLOOKUP(A91,EData,2,0))</f>
        <v>0.34075231481481483</v>
      </c>
      <c r="D91" s="4">
        <f>TIMEVALUE(VLOOKUP(A91,EData,3,0))</f>
        <v>0.19762731481481483</v>
      </c>
      <c r="E91" s="4">
        <f>TIMEVALUE(VLOOKUP(A91,BData,9,0))</f>
        <v>4.8240740740740744E-2</v>
      </c>
      <c r="F91">
        <f>VLOOKUP(A91,'[1]OverAll Performance'!$1:$150,2,)</f>
        <v>51</v>
      </c>
      <c r="G91" s="5">
        <f>VLOOKUP(A91,EData,6,)</f>
        <v>0.54373153085832704</v>
      </c>
    </row>
    <row r="92" spans="1:7" x14ac:dyDescent="0.35">
      <c r="A92" t="s">
        <v>243</v>
      </c>
      <c r="B92" t="s">
        <v>105</v>
      </c>
      <c r="C92" s="4">
        <f>TIMEVALUE(VLOOKUP(A92,EData,2,0))</f>
        <v>0.34390046296296295</v>
      </c>
      <c r="D92" s="4" t="e">
        <f>TIMEVALUE(VLOOKUP(A92,EData,3,0))</f>
        <v>#VALUE!</v>
      </c>
      <c r="E92" s="4">
        <f>TIMEVALUE(VLOOKUP(A92,BData,9,0))</f>
        <v>0.34385416666666668</v>
      </c>
      <c r="F92">
        <f>VLOOKUP(A92,'[1]OverAll Performance'!$1:$150,2,)</f>
        <v>52</v>
      </c>
      <c r="G92" s="5">
        <f>VLOOKUP(A92,EData,6,)</f>
        <v>0</v>
      </c>
    </row>
    <row r="93" spans="1:7" x14ac:dyDescent="0.35">
      <c r="A93" t="s">
        <v>244</v>
      </c>
      <c r="B93" t="s">
        <v>106</v>
      </c>
      <c r="C93" s="4">
        <f>TIMEVALUE(VLOOKUP(A93,EData,2,0))</f>
        <v>0.33532407407407405</v>
      </c>
      <c r="D93" s="4">
        <f>TIMEVALUE(VLOOKUP(A93,EData,3,0))</f>
        <v>5.0763888888888886E-2</v>
      </c>
      <c r="E93" s="4">
        <f>TIMEVALUE(VLOOKUP(A93,BData,9,0))</f>
        <v>0.27759259259259261</v>
      </c>
      <c r="F93">
        <f>VLOOKUP(A93,'[1]OverAll Performance'!$1:$150,2,)</f>
        <v>53</v>
      </c>
      <c r="G93" s="5">
        <f>VLOOKUP(A93,EData,6,)</f>
        <v>0.14431174927516199</v>
      </c>
    </row>
    <row r="94" spans="1:7" x14ac:dyDescent="0.35">
      <c r="A94" t="s">
        <v>245</v>
      </c>
      <c r="B94" t="s">
        <v>107</v>
      </c>
      <c r="C94" s="4">
        <f>TIMEVALUE(VLOOKUP(A94,EData,2,0))</f>
        <v>0.34682870370370372</v>
      </c>
      <c r="D94" s="4">
        <f>TIMEVALUE(VLOOKUP(A94,EData,3,0))</f>
        <v>0.20351851851851852</v>
      </c>
      <c r="E94" s="4">
        <f>TIMEVALUE(VLOOKUP(A94,BData,9,0))</f>
        <v>5.122685185185185E-2</v>
      </c>
      <c r="F94">
        <f>VLOOKUP(A94,'[1]OverAll Performance'!$1:$150,2,)</f>
        <v>54</v>
      </c>
      <c r="G94" s="5">
        <f>VLOOKUP(A94,EData,6,)</f>
        <v>0.55259293866381898</v>
      </c>
    </row>
    <row r="95" spans="1:7" x14ac:dyDescent="0.35">
      <c r="A95" t="s">
        <v>246</v>
      </c>
      <c r="B95" t="s">
        <v>108</v>
      </c>
      <c r="C95" s="4">
        <f>TIMEVALUE(VLOOKUP(A95,EData,2,0))</f>
        <v>0.33483796296296298</v>
      </c>
      <c r="D95" s="4">
        <f>TIMEVALUE(VLOOKUP(A95,EData,3,0))</f>
        <v>6.6759259259259254E-2</v>
      </c>
      <c r="E95" s="4">
        <f>TIMEVALUE(VLOOKUP(A95,BData,9,0))</f>
        <v>0.23973379629629629</v>
      </c>
      <c r="F95">
        <f>VLOOKUP(A95,'[1]OverAll Performance'!$1:$150,2,)</f>
        <v>55</v>
      </c>
      <c r="G95" s="5">
        <f>VLOOKUP(A95,EData,6,)</f>
        <v>0.18938817836156199</v>
      </c>
    </row>
    <row r="96" spans="1:7" x14ac:dyDescent="0.35">
      <c r="A96" t="s">
        <v>247</v>
      </c>
      <c r="B96" t="s">
        <v>109</v>
      </c>
      <c r="C96" s="4">
        <f>TIMEVALUE(VLOOKUP(A96,EData,2,0))</f>
        <v>0.34770833333333334</v>
      </c>
      <c r="D96" s="4">
        <f>TIMEVALUE(VLOOKUP(A96,EData,3,0))</f>
        <v>0.1784375</v>
      </c>
      <c r="E96" s="4">
        <f>TIMEVALUE(VLOOKUP(A96,BData,9,0))</f>
        <v>8.6782407407407405E-2</v>
      </c>
      <c r="F96">
        <f>VLOOKUP(A96,'[1]OverAll Performance'!$1:$150,2,)</f>
        <v>56</v>
      </c>
      <c r="G96" s="5">
        <f>VLOOKUP(A96,EData,6,)</f>
        <v>0.47077424938419499</v>
      </c>
    </row>
    <row r="97" spans="1:7" x14ac:dyDescent="0.35">
      <c r="A97" t="s">
        <v>248</v>
      </c>
      <c r="B97" t="s">
        <v>110</v>
      </c>
      <c r="C97" s="4">
        <f>TIMEVALUE(VLOOKUP(A97,EData,2,0))</f>
        <v>0.33384259259259258</v>
      </c>
      <c r="D97" s="4">
        <f>TIMEVALUE(VLOOKUP(A97,EData,3,0))</f>
        <v>0.19934027777777777</v>
      </c>
      <c r="E97" s="4">
        <f>TIMEVALUE(VLOOKUP(A97,BData,9,0))</f>
        <v>4.9467592592592591E-2</v>
      </c>
      <c r="F97">
        <f>VLOOKUP(A97,'[1]OverAll Performance'!$1:$150,2,)</f>
        <v>57</v>
      </c>
      <c r="G97" s="5">
        <f>VLOOKUP(A97,EData,6,)</f>
        <v>0.53862155040909698</v>
      </c>
    </row>
    <row r="98" spans="1:7" x14ac:dyDescent="0.35">
      <c r="A98" t="s">
        <v>249</v>
      </c>
      <c r="B98" t="s">
        <v>111</v>
      </c>
      <c r="C98" s="4">
        <f>TIMEVALUE(VLOOKUP(A98,EData,2,0))</f>
        <v>0.3346412037037037</v>
      </c>
      <c r="D98" s="4">
        <f>TIMEVALUE(VLOOKUP(A98,EData,3,0))</f>
        <v>0.19371527777777778</v>
      </c>
      <c r="E98" s="4">
        <f>TIMEVALUE(VLOOKUP(A98,BData,9,0))</f>
        <v>4.8240740740740744E-2</v>
      </c>
      <c r="F98">
        <f>VLOOKUP(A98,'[1]OverAll Performance'!$1:$150,2,)</f>
        <v>58</v>
      </c>
      <c r="G98" s="5">
        <f>VLOOKUP(A98,EData,6,)</f>
        <v>0.53294365856189296</v>
      </c>
    </row>
    <row r="99" spans="1:7" x14ac:dyDescent="0.35">
      <c r="A99" t="s">
        <v>250</v>
      </c>
      <c r="B99" t="s">
        <v>112</v>
      </c>
      <c r="C99" s="4">
        <f>TIMEVALUE(VLOOKUP(A99,EData,2,0))</f>
        <v>0.24574074074074073</v>
      </c>
      <c r="D99" s="4">
        <f>TIMEVALUE(VLOOKUP(A99,EData,3,0))</f>
        <v>0.12021990740740741</v>
      </c>
      <c r="E99" s="4">
        <f>TIMEVALUE(VLOOKUP(A99,BData,9,0))</f>
        <v>0.11229166666666666</v>
      </c>
      <c r="F99">
        <f>VLOOKUP(A99,'[1]OverAll Performance'!$1:$150,2,)</f>
        <v>59</v>
      </c>
      <c r="G99" s="5">
        <f>VLOOKUP(A99,EData,6,)</f>
        <v>0.41310286360211002</v>
      </c>
    </row>
    <row r="100" spans="1:7" x14ac:dyDescent="0.35">
      <c r="A100" t="s">
        <v>251</v>
      </c>
      <c r="B100" t="s">
        <v>113</v>
      </c>
      <c r="C100" s="4">
        <f>TIMEVALUE(VLOOKUP(A100,EData,2,0))</f>
        <v>0.34446759259259258</v>
      </c>
      <c r="D100" s="4">
        <f>TIMEVALUE(VLOOKUP(A100,EData,3,0))</f>
        <v>0.18254629629629629</v>
      </c>
      <c r="E100" s="4">
        <f>TIMEVALUE(VLOOKUP(A100,BData,9,0))</f>
        <v>7.6817129629629624E-2</v>
      </c>
      <c r="F100">
        <f>VLOOKUP(A100,'[1]OverAll Performance'!$1:$150,2,)</f>
        <v>60</v>
      </c>
      <c r="G100" s="5">
        <f>VLOOKUP(A100,EData,6,)</f>
        <v>0.50483838451717</v>
      </c>
    </row>
    <row r="101" spans="1:7" x14ac:dyDescent="0.35">
      <c r="A101" t="s">
        <v>252</v>
      </c>
      <c r="B101" t="s">
        <v>114</v>
      </c>
      <c r="C101" s="4">
        <f>TIMEVALUE(VLOOKUP(A101,EData,2,0))</f>
        <v>0.34423611111111113</v>
      </c>
      <c r="D101" s="4">
        <f>TIMEVALUE(VLOOKUP(A101,EData,3,0))</f>
        <v>0.18436342592592592</v>
      </c>
      <c r="E101" s="4">
        <f>TIMEVALUE(VLOOKUP(A101,BData,9,0))</f>
        <v>6.7326388888888894E-2</v>
      </c>
      <c r="F101">
        <f>VLOOKUP(A101,'[1]OverAll Performance'!$1:$150,2,)</f>
        <v>61</v>
      </c>
      <c r="G101" s="5">
        <f>VLOOKUP(A101,EData,6,)</f>
        <v>0.52390558805729304</v>
      </c>
    </row>
    <row r="102" spans="1:7" x14ac:dyDescent="0.35">
      <c r="A102" t="s">
        <v>253</v>
      </c>
      <c r="B102" t="s">
        <v>115</v>
      </c>
      <c r="C102" s="4">
        <f>TIMEVALUE(VLOOKUP(A102,EData,2,0))</f>
        <v>0.34479166666666666</v>
      </c>
      <c r="D102" s="4">
        <f>TIMEVALUE(VLOOKUP(A102,EData,3,0))</f>
        <v>0.10450231481481481</v>
      </c>
      <c r="E102" s="4">
        <f>TIMEVALUE(VLOOKUP(A102,BData,9,0))</f>
        <v>0.21383101851851852</v>
      </c>
      <c r="F102">
        <f>VLOOKUP(A102,'[1]OverAll Performance'!$1:$150,2,)</f>
        <v>62</v>
      </c>
      <c r="G102" s="5">
        <f>VLOOKUP(A102,EData,6,)</f>
        <v>0.25444780127559602</v>
      </c>
    </row>
    <row r="103" spans="1:7" x14ac:dyDescent="0.35">
      <c r="A103" t="s">
        <v>254</v>
      </c>
      <c r="B103" t="s">
        <v>116</v>
      </c>
      <c r="C103" s="4">
        <f>TIMEVALUE(VLOOKUP(A103,EData,2,0))</f>
        <v>0.33458333333333334</v>
      </c>
      <c r="D103" s="4">
        <f>TIMEVALUE(VLOOKUP(A103,EData,3,0))</f>
        <v>0.20292824074074073</v>
      </c>
      <c r="E103" s="4">
        <f>TIMEVALUE(VLOOKUP(A103,BData,9,0))</f>
        <v>5.0925925925925923E-2</v>
      </c>
      <c r="F103">
        <f>VLOOKUP(A103,'[1]OverAll Performance'!$1:$150,2,)</f>
        <v>63</v>
      </c>
      <c r="G103" s="5">
        <f>VLOOKUP(A103,EData,6,)</f>
        <v>0.55517503805174995</v>
      </c>
    </row>
    <row r="104" spans="1:7" x14ac:dyDescent="0.35">
      <c r="A104" t="s">
        <v>255</v>
      </c>
      <c r="B104" t="s">
        <v>117</v>
      </c>
      <c r="C104" s="4">
        <f>TIMEVALUE(VLOOKUP(A104,EData,2,0))</f>
        <v>0.34524305555555557</v>
      </c>
      <c r="D104" s="4" t="e">
        <f>TIMEVALUE(VLOOKUP(A104,EData,3,0))</f>
        <v>#VALUE!</v>
      </c>
      <c r="E104" s="4">
        <f>TIMEVALUE(VLOOKUP(A104,BData,9,0))</f>
        <v>0.34513888888888888</v>
      </c>
      <c r="F104">
        <f>VLOOKUP(A104,'[1]OverAll Performance'!$1:$150,2,)</f>
        <v>64</v>
      </c>
      <c r="G104" s="5">
        <f>VLOOKUP(A104,EData,6,)</f>
        <v>0</v>
      </c>
    </row>
    <row r="105" spans="1:7" x14ac:dyDescent="0.35">
      <c r="A105" t="s">
        <v>256</v>
      </c>
      <c r="B105" t="s">
        <v>118</v>
      </c>
      <c r="C105" s="4">
        <f>TIMEVALUE(VLOOKUP(A105,EData,2,0))</f>
        <v>0.34424768518518517</v>
      </c>
      <c r="D105" s="4">
        <f>TIMEVALUE(VLOOKUP(A105,EData,3,0))</f>
        <v>0.17256944444444444</v>
      </c>
      <c r="E105" s="4">
        <f>TIMEVALUE(VLOOKUP(A105,BData,9,0))</f>
        <v>9.0462962962962967E-2</v>
      </c>
      <c r="F105">
        <f>VLOOKUP(A105,'[1]OverAll Performance'!$1:$150,2,)</f>
        <v>65</v>
      </c>
      <c r="G105" s="5">
        <f>VLOOKUP(A105,EData,6,)</f>
        <v>0.477120667047709</v>
      </c>
    </row>
    <row r="106" spans="1:7" x14ac:dyDescent="0.35">
      <c r="A106" t="s">
        <v>257</v>
      </c>
      <c r="B106" t="s">
        <v>20</v>
      </c>
      <c r="C106" s="4">
        <f>TIMEVALUE(VLOOKUP(A106,EData,2,0))</f>
        <v>0.35488425925925926</v>
      </c>
      <c r="D106" s="4">
        <f>TIMEVALUE(VLOOKUP(A106,EData,3,0))</f>
        <v>0.2330787037037037</v>
      </c>
      <c r="E106" s="4">
        <f>TIMEVALUE(VLOOKUP(A106,BData,9,0))</f>
        <v>3.7349537037037035E-2</v>
      </c>
      <c r="F106">
        <f>VLOOKUP(A106,'[1]OverAll Performance'!$1:$150,2,)</f>
        <v>66</v>
      </c>
      <c r="G106" s="5">
        <f>VLOOKUP(A106,EData,6,)</f>
        <v>0.61917030852521004</v>
      </c>
    </row>
    <row r="107" spans="1:7" x14ac:dyDescent="0.35">
      <c r="A107" t="s">
        <v>258</v>
      </c>
      <c r="B107" t="s">
        <v>119</v>
      </c>
      <c r="C107" s="4">
        <f>TIMEVALUE(VLOOKUP(A107,EData,2,0))</f>
        <v>0.33346064814814813</v>
      </c>
      <c r="D107" s="4">
        <f>TIMEVALUE(VLOOKUP(A107,EData,3,0))</f>
        <v>0.2029050925925926</v>
      </c>
      <c r="E107" s="4">
        <f>TIMEVALUE(VLOOKUP(A107,BData,9,0))</f>
        <v>4.8194444444444443E-2</v>
      </c>
      <c r="F107">
        <f>VLOOKUP(A107,'[1]OverAll Performance'!$1:$150,2,)</f>
        <v>67</v>
      </c>
      <c r="G107" s="5">
        <f>VLOOKUP(A107,EData,6,)</f>
        <v>0.55305265350039901</v>
      </c>
    </row>
    <row r="108" spans="1:7" x14ac:dyDescent="0.35">
      <c r="A108" t="s">
        <v>259</v>
      </c>
      <c r="B108" t="s">
        <v>120</v>
      </c>
      <c r="C108" s="4">
        <f>TIMEVALUE(VLOOKUP(A108,EData,2,0))</f>
        <v>0.34430555555555553</v>
      </c>
      <c r="D108" s="4">
        <f>TIMEVALUE(VLOOKUP(A108,EData,3,0))</f>
        <v>0.20876157407407409</v>
      </c>
      <c r="E108" s="4">
        <f>TIMEVALUE(VLOOKUP(A108,BData,9,0))</f>
        <v>4.7685185185185185E-2</v>
      </c>
      <c r="F108">
        <f>VLOOKUP(A108,'[1]OverAll Performance'!$1:$150,2,)</f>
        <v>68</v>
      </c>
      <c r="G108" s="5">
        <f>VLOOKUP(A108,EData,6,)</f>
        <v>0.56195374478956595</v>
      </c>
    </row>
    <row r="109" spans="1:7" x14ac:dyDescent="0.35">
      <c r="A109" t="s">
        <v>260</v>
      </c>
      <c r="B109" t="s">
        <v>121</v>
      </c>
      <c r="C109" s="4">
        <f>TIMEVALUE(VLOOKUP(A109,EData,2,0))</f>
        <v>0.34439814814814818</v>
      </c>
      <c r="D109" s="4">
        <f>TIMEVALUE(VLOOKUP(A109,EData,3,0))</f>
        <v>0.19284722222222223</v>
      </c>
      <c r="E109" s="4">
        <f>TIMEVALUE(VLOOKUP(A109,BData,9,0))</f>
        <v>8.2974537037037041E-2</v>
      </c>
      <c r="F109">
        <f>VLOOKUP(A109,'[1]OverAll Performance'!$1:$150,2,)</f>
        <v>69</v>
      </c>
      <c r="G109" s="5">
        <f>VLOOKUP(A109,EData,6,)</f>
        <v>0.48780077967468699</v>
      </c>
    </row>
    <row r="110" spans="1:7" x14ac:dyDescent="0.35">
      <c r="A110" t="s">
        <v>261</v>
      </c>
      <c r="B110" t="s">
        <v>122</v>
      </c>
      <c r="C110" s="4">
        <f>TIMEVALUE(VLOOKUP(A110,EData,2,0))</f>
        <v>0.34435185185185185</v>
      </c>
      <c r="D110" s="4">
        <f>TIMEVALUE(VLOOKUP(A110,EData,3,0))</f>
        <v>0.20849537037037036</v>
      </c>
      <c r="E110" s="4">
        <f>TIMEVALUE(VLOOKUP(A110,BData,9,0))</f>
        <v>4.8414351851851854E-2</v>
      </c>
      <c r="F110">
        <f>VLOOKUP(A110,'[1]OverAll Performance'!$1:$150,2,)</f>
        <v>70</v>
      </c>
      <c r="G110" s="5">
        <f>VLOOKUP(A110,EData,6,)</f>
        <v>0.55414762032804499</v>
      </c>
    </row>
    <row r="111" spans="1:7" x14ac:dyDescent="0.35">
      <c r="A111" t="s">
        <v>262</v>
      </c>
      <c r="B111" t="s">
        <v>123</v>
      </c>
      <c r="C111" s="4">
        <f>TIMEVALUE(VLOOKUP(A111,EData,2,0))</f>
        <v>0.33491898148148147</v>
      </c>
      <c r="D111" s="4">
        <f>TIMEVALUE(VLOOKUP(A111,EData,3,0))</f>
        <v>0.21258101851851852</v>
      </c>
      <c r="E111" s="4">
        <f>TIMEVALUE(VLOOKUP(A111,BData,9,0))</f>
        <v>4.8784722222222222E-2</v>
      </c>
      <c r="F111">
        <f>VLOOKUP(A111,'[1]OverAll Performance'!$1:$150,2,)</f>
        <v>71</v>
      </c>
      <c r="G111" s="5">
        <f>VLOOKUP(A111,EData,6,)</f>
        <v>0.58651553374572396</v>
      </c>
    </row>
    <row r="112" spans="1:7" x14ac:dyDescent="0.35">
      <c r="A112" t="s">
        <v>263</v>
      </c>
      <c r="B112" t="s">
        <v>124</v>
      </c>
      <c r="C112" s="4">
        <f>TIMEVALUE(VLOOKUP(A112,EData,2,0))</f>
        <v>0.34442129629629631</v>
      </c>
      <c r="D112" s="4">
        <f>TIMEVALUE(VLOOKUP(A112,EData,3,0))</f>
        <v>0.22203703703703703</v>
      </c>
      <c r="E112" s="4">
        <f>TIMEVALUE(VLOOKUP(A112,BData,9,0))</f>
        <v>5.1342592592592592E-2</v>
      </c>
      <c r="F112">
        <f>VLOOKUP(A112,'[1]OverAll Performance'!$1:$150,2,)</f>
        <v>72</v>
      </c>
      <c r="G112" s="5">
        <f>VLOOKUP(A112,EData,6,)</f>
        <v>0.58165871362322696</v>
      </c>
    </row>
    <row r="113" spans="1:7" x14ac:dyDescent="0.35">
      <c r="A113" t="s">
        <v>264</v>
      </c>
      <c r="B113" t="s">
        <v>125</v>
      </c>
      <c r="C113" s="4">
        <f>TIMEVALUE(VLOOKUP(A113,EData,2,0))</f>
        <v>0.3354050925925926</v>
      </c>
      <c r="D113" s="4">
        <f>TIMEVALUE(VLOOKUP(A113,EData,3,0))</f>
        <v>0.19744212962962962</v>
      </c>
      <c r="E113" s="4">
        <f>TIMEVALUE(VLOOKUP(A113,BData,9,0))</f>
        <v>5.0011574074074076E-2</v>
      </c>
      <c r="F113">
        <f>VLOOKUP(A113,'[1]OverAll Performance'!$1:$150,2,)</f>
        <v>75</v>
      </c>
      <c r="G113" s="5">
        <f>VLOOKUP(A113,EData,6,)</f>
        <v>0.54653369681493502</v>
      </c>
    </row>
    <row r="114" spans="1:7" x14ac:dyDescent="0.35">
      <c r="A114" t="s">
        <v>265</v>
      </c>
      <c r="B114" t="s">
        <v>126</v>
      </c>
      <c r="C114" s="4">
        <f>TIMEVALUE(VLOOKUP(A114,EData,2,0))</f>
        <v>0.33627314814814813</v>
      </c>
      <c r="D114" s="4">
        <f>TIMEVALUE(VLOOKUP(A114,EData,3,0))</f>
        <v>0.18991898148148148</v>
      </c>
      <c r="E114" s="4">
        <f>TIMEVALUE(VLOOKUP(A114,BData,9,0))</f>
        <v>6.4317129629629627E-2</v>
      </c>
      <c r="F114">
        <f>VLOOKUP(A114,'[1]OverAll Performance'!$1:$150,2,)</f>
        <v>76</v>
      </c>
      <c r="G114" s="5">
        <f>VLOOKUP(A114,EData,6,)</f>
        <v>0.53238796723342696</v>
      </c>
    </row>
    <row r="115" spans="1:7" x14ac:dyDescent="0.35">
      <c r="A115" t="s">
        <v>266</v>
      </c>
      <c r="B115" t="s">
        <v>127</v>
      </c>
      <c r="C115" s="4">
        <f>TIMEVALUE(VLOOKUP(A115,EData,2,0))</f>
        <v>0.33471064814814816</v>
      </c>
      <c r="D115" s="4">
        <f>TIMEVALUE(VLOOKUP(A115,EData,3,0))</f>
        <v>0.18868055555555555</v>
      </c>
      <c r="E115" s="4">
        <f>TIMEVALUE(VLOOKUP(A115,BData,9,0))</f>
        <v>7.3344907407407414E-2</v>
      </c>
      <c r="F115">
        <f>VLOOKUP(A115,'[1]OverAll Performance'!$1:$150,2,)</f>
        <v>77</v>
      </c>
      <c r="G115" s="5">
        <f>VLOOKUP(A115,EData,6,)</f>
        <v>0.47020989660776702</v>
      </c>
    </row>
    <row r="116" spans="1:7" x14ac:dyDescent="0.35">
      <c r="A116" t="s">
        <v>267</v>
      </c>
      <c r="B116" t="s">
        <v>128</v>
      </c>
      <c r="C116" s="4">
        <f>TIMEVALUE(VLOOKUP(A116,EData,2,0))</f>
        <v>0.33974537037037039</v>
      </c>
      <c r="D116" s="4">
        <f>TIMEVALUE(VLOOKUP(A116,EData,3,0))</f>
        <v>0.20261574074074074</v>
      </c>
      <c r="E116" s="4">
        <f>TIMEVALUE(VLOOKUP(A116,BData,9,0))</f>
        <v>4.7754629629629633E-2</v>
      </c>
      <c r="F116">
        <f>VLOOKUP(A116,'[1]OverAll Performance'!$1:$150,2,)</f>
        <v>78</v>
      </c>
      <c r="G116" s="5">
        <f>VLOOKUP(A116,EData,6,)</f>
        <v>0.54633099407235797</v>
      </c>
    </row>
    <row r="117" spans="1:7" x14ac:dyDescent="0.35">
      <c r="A117" t="s">
        <v>268</v>
      </c>
      <c r="B117" t="s">
        <v>129</v>
      </c>
      <c r="C117" s="4">
        <f>TIMEVALUE(VLOOKUP(A117,EData,2,0))</f>
        <v>0.34557870370370369</v>
      </c>
      <c r="D117" s="4">
        <f>TIMEVALUE(VLOOKUP(A117,EData,3,0))</f>
        <v>0.14315972222222223</v>
      </c>
      <c r="E117" s="4">
        <f>TIMEVALUE(VLOOKUP(A117,BData,9,0))</f>
        <v>0.15493055555555554</v>
      </c>
      <c r="F117">
        <f>VLOOKUP(A117,'[1]OverAll Performance'!$1:$150,2,)</f>
        <v>79</v>
      </c>
      <c r="G117" s="5">
        <f>VLOOKUP(A117,EData,6,)</f>
        <v>0.38820416638756799</v>
      </c>
    </row>
    <row r="118" spans="1:7" x14ac:dyDescent="0.35">
      <c r="A118" t="s">
        <v>269</v>
      </c>
      <c r="B118" t="s">
        <v>130</v>
      </c>
      <c r="C118" s="4">
        <f>TIMEVALUE(VLOOKUP(A118,EData,2,0))</f>
        <v>0.33189814814814816</v>
      </c>
      <c r="D118" s="4">
        <f>TIMEVALUE(VLOOKUP(A118,EData,3,0))</f>
        <v>0.1439236111111111</v>
      </c>
      <c r="E118" s="4">
        <f>TIMEVALUE(VLOOKUP(A118,BData,9,0))</f>
        <v>0.13547453703703705</v>
      </c>
      <c r="F118">
        <f>VLOOKUP(A118,'[1]OverAll Performance'!$1:$150,2,)</f>
        <v>80</v>
      </c>
      <c r="G118" s="5">
        <f>VLOOKUP(A118,EData,6,)</f>
        <v>0.40277584042404802</v>
      </c>
    </row>
    <row r="119" spans="1:7" x14ac:dyDescent="0.35">
      <c r="A119" t="s">
        <v>270</v>
      </c>
      <c r="B119" t="s">
        <v>131</v>
      </c>
      <c r="C119" s="4">
        <f>TIMEVALUE(VLOOKUP(A119,EData,2,0))</f>
        <v>0.34369212962962964</v>
      </c>
      <c r="D119" s="4">
        <f>TIMEVALUE(VLOOKUP(A119,EData,3,0))</f>
        <v>0.22164351851851852</v>
      </c>
      <c r="E119" s="4">
        <f>TIMEVALUE(VLOOKUP(A119,BData,9,0))</f>
        <v>4.8599537037037038E-2</v>
      </c>
      <c r="F119">
        <f>VLOOKUP(A119,'[1]OverAll Performance'!$1:$150,2,)</f>
        <v>81</v>
      </c>
      <c r="G119" s="5">
        <f>VLOOKUP(A119,EData,6,)</f>
        <v>0.54352584610203702</v>
      </c>
    </row>
    <row r="120" spans="1:7" x14ac:dyDescent="0.35">
      <c r="A120" t="s">
        <v>271</v>
      </c>
      <c r="B120" t="s">
        <v>132</v>
      </c>
      <c r="C120" s="4">
        <f>TIMEVALUE(VLOOKUP(A120,EData,2,0))</f>
        <v>0.3548263888888889</v>
      </c>
      <c r="D120" s="4">
        <f>TIMEVALUE(VLOOKUP(A120,EData,3,0))</f>
        <v>0.15355324074074075</v>
      </c>
      <c r="E120" s="4">
        <f>TIMEVALUE(VLOOKUP(A120,BData,9,0))</f>
        <v>3.8645833333333331E-2</v>
      </c>
      <c r="F120">
        <f>VLOOKUP(A120,'[1]OverAll Performance'!$1:$150,2,)</f>
        <v>82</v>
      </c>
      <c r="G120" s="5">
        <f>VLOOKUP(A120,EData,6,)</f>
        <v>0.28371986821932998</v>
      </c>
    </row>
    <row r="121" spans="1:7" x14ac:dyDescent="0.35">
      <c r="A121" t="s">
        <v>272</v>
      </c>
      <c r="B121" t="s">
        <v>18</v>
      </c>
      <c r="C121" s="4">
        <f>TIMEVALUE(VLOOKUP(A121,EData,2,0))</f>
        <v>0.36775462962962963</v>
      </c>
      <c r="D121" s="4">
        <f>TIMEVALUE(VLOOKUP(A121,EData,3,0))</f>
        <v>0.21557870370370372</v>
      </c>
      <c r="E121" s="4">
        <f>TIMEVALUE(VLOOKUP(A121,BData,9,0))</f>
        <v>7.048611111111111E-2</v>
      </c>
      <c r="F121">
        <f>VLOOKUP(A121,'[1]OverAll Performance'!$1:$150,2,)</f>
        <v>83</v>
      </c>
      <c r="G121" s="5">
        <f>VLOOKUP(A121,EData,6,)</f>
        <v>0.56196890539434796</v>
      </c>
    </row>
    <row r="122" spans="1:7" x14ac:dyDescent="0.35">
      <c r="A122" t="s">
        <v>273</v>
      </c>
      <c r="B122" t="s">
        <v>133</v>
      </c>
      <c r="C122" s="4">
        <f>TIMEVALUE(VLOOKUP(A122,EData,2,0))</f>
        <v>0.35119212962962965</v>
      </c>
      <c r="D122" s="4">
        <f>TIMEVALUE(VLOOKUP(A122,EData,3,0))</f>
        <v>0.15380787037037036</v>
      </c>
      <c r="E122" s="4">
        <f>TIMEVALUE(VLOOKUP(A122,BData,9,0))</f>
        <v>0.14153935185185185</v>
      </c>
      <c r="F122">
        <f>VLOOKUP(A122,'[1]OverAll Performance'!$1:$150,2,)</f>
        <v>84</v>
      </c>
      <c r="G122" s="5">
        <f>VLOOKUP(A122,EData,6,)</f>
        <v>0.40332201825791802</v>
      </c>
    </row>
    <row r="123" spans="1:7" x14ac:dyDescent="0.35">
      <c r="A123" t="s">
        <v>274</v>
      </c>
      <c r="B123" t="s">
        <v>134</v>
      </c>
      <c r="C123" s="4">
        <f>TIMEVALUE(VLOOKUP(A123,EData,2,0))</f>
        <v>0.34143518518518517</v>
      </c>
      <c r="D123" s="4">
        <f>TIMEVALUE(VLOOKUP(A123,EData,3,0))</f>
        <v>0.17545138888888889</v>
      </c>
      <c r="E123" s="4">
        <f>TIMEVALUE(VLOOKUP(A123,BData,9,0))</f>
        <v>9.5694444444444443E-2</v>
      </c>
      <c r="F123">
        <f>VLOOKUP(A123,'[1]OverAll Performance'!$1:$150,2,)</f>
        <v>85</v>
      </c>
      <c r="G123" s="5">
        <f>VLOOKUP(A123,EData,6,)</f>
        <v>0.43796610169491501</v>
      </c>
    </row>
    <row r="124" spans="1:7" x14ac:dyDescent="0.35">
      <c r="A124" t="s">
        <v>275</v>
      </c>
      <c r="B124" t="s">
        <v>135</v>
      </c>
      <c r="C124" s="4">
        <f>TIMEVALUE(VLOOKUP(A124,EData,2,0))</f>
        <v>0.34533564814814816</v>
      </c>
      <c r="D124" s="4">
        <f>TIMEVALUE(VLOOKUP(A124,EData,3,0))</f>
        <v>0.20476851851851852</v>
      </c>
      <c r="E124" s="4">
        <f>TIMEVALUE(VLOOKUP(A124,BData,9,0))</f>
        <v>5.5231481481481479E-2</v>
      </c>
      <c r="F124">
        <f>VLOOKUP(A124,'[1]OverAll Performance'!$1:$150,2,)</f>
        <v>86</v>
      </c>
      <c r="G124" s="5">
        <f>VLOOKUP(A124,EData,6,)</f>
        <v>0.55581995508931903</v>
      </c>
    </row>
    <row r="125" spans="1:7" x14ac:dyDescent="0.35">
      <c r="A125" t="s">
        <v>276</v>
      </c>
      <c r="B125" t="s">
        <v>136</v>
      </c>
      <c r="C125" s="4">
        <f>TIMEVALUE(VLOOKUP(A125,EData,2,0))</f>
        <v>0.34416666666666668</v>
      </c>
      <c r="D125" s="4">
        <f>TIMEVALUE(VLOOKUP(A125,EData,3,0))</f>
        <v>0.12054398148148149</v>
      </c>
      <c r="E125" s="4">
        <f>TIMEVALUE(VLOOKUP(A125,BData,9,0))</f>
        <v>0.19140046296296295</v>
      </c>
      <c r="F125">
        <f>VLOOKUP(A125,'[1]OverAll Performance'!$1:$150,2,)</f>
        <v>87</v>
      </c>
      <c r="G125" s="5">
        <f>VLOOKUP(A125,EData,6,)</f>
        <v>0.326035781544256</v>
      </c>
    </row>
    <row r="126" spans="1:7" x14ac:dyDescent="0.35">
      <c r="A126" t="s">
        <v>277</v>
      </c>
      <c r="B126" t="s">
        <v>137</v>
      </c>
      <c r="C126" s="4">
        <f>TIMEVALUE(VLOOKUP(A126,EData,2,0))</f>
        <v>0.33975694444444443</v>
      </c>
      <c r="D126" s="4">
        <f>TIMEVALUE(VLOOKUP(A126,EData,3,0))</f>
        <v>0.21278935185185185</v>
      </c>
      <c r="E126" s="4">
        <f>TIMEVALUE(VLOOKUP(A126,BData,9,0))</f>
        <v>4.8506944444444443E-2</v>
      </c>
      <c r="F126">
        <f>VLOOKUP(A126,'[1]OverAll Performance'!$1:$150,2,)</f>
        <v>88</v>
      </c>
      <c r="G126" s="5">
        <f>VLOOKUP(A126,EData,6,)</f>
        <v>0.57404190086867701</v>
      </c>
    </row>
    <row r="127" spans="1:7" x14ac:dyDescent="0.35">
      <c r="A127" t="s">
        <v>278</v>
      </c>
      <c r="B127" t="s">
        <v>138</v>
      </c>
      <c r="C127" s="4">
        <f>TIMEVALUE(VLOOKUP(A127,EData,2,0))</f>
        <v>0.33380787037037035</v>
      </c>
      <c r="D127" s="4">
        <f>TIMEVALUE(VLOOKUP(A127,EData,3,0))</f>
        <v>0.1744212962962963</v>
      </c>
      <c r="E127" s="4">
        <f>TIMEVALUE(VLOOKUP(A127,BData,9,0))</f>
        <v>8.1423611111111113E-2</v>
      </c>
      <c r="F127">
        <f>VLOOKUP(A127,'[1]OverAll Performance'!$1:$150,2,)</f>
        <v>89</v>
      </c>
      <c r="G127" s="5">
        <f>VLOOKUP(A127,EData,6,)</f>
        <v>0.45359037481363301</v>
      </c>
    </row>
    <row r="128" spans="1:7" x14ac:dyDescent="0.35">
      <c r="A128" t="s">
        <v>279</v>
      </c>
      <c r="B128" t="s">
        <v>139</v>
      </c>
      <c r="C128" s="4">
        <f>TIMEVALUE(VLOOKUP(A128,EData,2,0))</f>
        <v>0.34012731481481484</v>
      </c>
      <c r="D128" s="4">
        <f>TIMEVALUE(VLOOKUP(A128,EData,3,0))</f>
        <v>0.11028935185185185</v>
      </c>
      <c r="E128" s="4">
        <f>TIMEVALUE(VLOOKUP(A128,BData,9,0))</f>
        <v>0.19189814814814815</v>
      </c>
      <c r="F128">
        <f>VLOOKUP(A128,'[1]OverAll Performance'!$1:$150,2,)</f>
        <v>90</v>
      </c>
      <c r="G128" s="5">
        <f>VLOOKUP(A128,EData,6,)</f>
        <v>0.29689998979140397</v>
      </c>
    </row>
    <row r="129" spans="1:7" x14ac:dyDescent="0.35">
      <c r="A129" t="s">
        <v>280</v>
      </c>
      <c r="B129" t="s">
        <v>140</v>
      </c>
      <c r="C129" s="4">
        <f>TIMEVALUE(VLOOKUP(A129,EData,2,0))</f>
        <v>0.33354166666666668</v>
      </c>
      <c r="D129" s="4">
        <f>TIMEVALUE(VLOOKUP(A129,EData,3,0))</f>
        <v>0.19138888888888889</v>
      </c>
      <c r="E129" s="4">
        <f>TIMEVALUE(VLOOKUP(A129,BData,9,0))</f>
        <v>5.1666666666666666E-2</v>
      </c>
      <c r="F129">
        <f>VLOOKUP(A129,'[1]OverAll Performance'!$1:$150,2,)</f>
        <v>91</v>
      </c>
      <c r="G129" s="5">
        <f>VLOOKUP(A129,EData,6,)</f>
        <v>0.55729058227496697</v>
      </c>
    </row>
    <row r="130" spans="1:7" x14ac:dyDescent="0.35">
      <c r="A130" t="s">
        <v>281</v>
      </c>
      <c r="B130" t="s">
        <v>12</v>
      </c>
      <c r="C130" s="4">
        <f>TIMEVALUE(VLOOKUP(A130,EData,2,0))</f>
        <v>0.33687499999999998</v>
      </c>
      <c r="D130" s="4">
        <f>TIMEVALUE(VLOOKUP(A130,EData,3,0))</f>
        <v>0.17017361111111112</v>
      </c>
      <c r="E130" s="4">
        <f>TIMEVALUE(VLOOKUP(A130,BData,9,0))</f>
        <v>9.5034722222222229E-2</v>
      </c>
      <c r="F130">
        <f>VLOOKUP(A130,'[1]OverAll Performance'!$1:$150,2,)</f>
        <v>93</v>
      </c>
      <c r="G130" s="5">
        <f>VLOOKUP(A130,EData,6,)</f>
        <v>0.472308115165258</v>
      </c>
    </row>
    <row r="131" spans="1:7" x14ac:dyDescent="0.35">
      <c r="A131" t="s">
        <v>282</v>
      </c>
      <c r="B131" t="s">
        <v>141</v>
      </c>
      <c r="C131" s="4">
        <f>TIMEVALUE(VLOOKUP(A131,EData,2,0))</f>
        <v>0.33709490740740738</v>
      </c>
      <c r="D131" s="4">
        <f>TIMEVALUE(VLOOKUP(A131,EData,3,0))</f>
        <v>0.18885416666666666</v>
      </c>
      <c r="E131" s="4">
        <f>TIMEVALUE(VLOOKUP(A131,BData,9,0))</f>
        <v>8.7997685185185179E-2</v>
      </c>
      <c r="F131">
        <f>VLOOKUP(A131,'[1]OverAll Performance'!$1:$150,2,)</f>
        <v>94</v>
      </c>
      <c r="G131" s="5">
        <f>VLOOKUP(A131,EData,6,)</f>
        <v>0.51110729613733896</v>
      </c>
    </row>
    <row r="132" spans="1:7" x14ac:dyDescent="0.35">
      <c r="A132" t="s">
        <v>283</v>
      </c>
      <c r="B132" t="s">
        <v>142</v>
      </c>
      <c r="C132" s="4">
        <f>TIMEVALUE(VLOOKUP(A132,EData,2,0))</f>
        <v>0.34307870370370369</v>
      </c>
      <c r="D132" s="4">
        <f>TIMEVALUE(VLOOKUP(A132,EData,3,0))</f>
        <v>0.22166666666666668</v>
      </c>
      <c r="E132" s="4">
        <f>TIMEVALUE(VLOOKUP(A132,BData,9,0))</f>
        <v>4.7395833333333331E-2</v>
      </c>
      <c r="F132">
        <f>VLOOKUP(A132,'[1]OverAll Performance'!$1:$150,2,)</f>
        <v>95</v>
      </c>
      <c r="G132" s="5">
        <f>VLOOKUP(A132,EData,6,)</f>
        <v>0.58886040078267299</v>
      </c>
    </row>
    <row r="133" spans="1:7" x14ac:dyDescent="0.35">
      <c r="A133" t="s">
        <v>284</v>
      </c>
      <c r="B133" t="s">
        <v>143</v>
      </c>
      <c r="C133" s="4">
        <f>TIMEVALUE(VLOOKUP(A133,EData,2,0))</f>
        <v>0.31192129629629628</v>
      </c>
      <c r="D133" s="4">
        <f>TIMEVALUE(VLOOKUP(A133,EData,3,0))</f>
        <v>0.12112268518518518</v>
      </c>
      <c r="E133" s="4">
        <f>TIMEVALUE(VLOOKUP(A133,BData,9,0))</f>
        <v>0.1575462962962963</v>
      </c>
      <c r="F133">
        <f>VLOOKUP(A133,'[1]OverAll Performance'!$1:$150,2,)</f>
        <v>96</v>
      </c>
      <c r="G133" s="5">
        <f>VLOOKUP(A133,EData,6,)</f>
        <v>0.34289424860853401</v>
      </c>
    </row>
    <row r="134" spans="1:7" x14ac:dyDescent="0.35">
      <c r="A134" t="s">
        <v>285</v>
      </c>
      <c r="B134" t="s">
        <v>144</v>
      </c>
      <c r="C134" s="4">
        <f>TIMEVALUE(VLOOKUP(A134,EData,2,0))</f>
        <v>0.3568634259259259</v>
      </c>
      <c r="D134" s="4">
        <f>TIMEVALUE(VLOOKUP(A134,EData,3,0))</f>
        <v>0.19224537037037037</v>
      </c>
      <c r="E134" s="4">
        <f>TIMEVALUE(VLOOKUP(A134,BData,9,0))</f>
        <v>9.5196759259259259E-2</v>
      </c>
      <c r="F134">
        <f>VLOOKUP(A134,'[1]OverAll Performance'!$1:$150,2,)</f>
        <v>97</v>
      </c>
      <c r="G134" s="5">
        <f>VLOOKUP(A134,EData,6,)</f>
        <v>0.497486459313074</v>
      </c>
    </row>
    <row r="135" spans="1:7" x14ac:dyDescent="0.35">
      <c r="A135" t="s">
        <v>286</v>
      </c>
      <c r="B135" t="s">
        <v>145</v>
      </c>
      <c r="C135" s="4">
        <f>TIMEVALUE(VLOOKUP(A135,EData,2,0))</f>
        <v>0.34392361111111114</v>
      </c>
      <c r="D135" s="4">
        <f>TIMEVALUE(VLOOKUP(A135,EData,3,0))</f>
        <v>0.20146990740740742</v>
      </c>
      <c r="E135" s="4">
        <f>TIMEVALUE(VLOOKUP(A135,BData,9,0))</f>
        <v>4.8854166666666664E-2</v>
      </c>
      <c r="F135">
        <f>VLOOKUP(A135,'[1]OverAll Performance'!$1:$150,2,)</f>
        <v>98</v>
      </c>
      <c r="G135" s="5">
        <f>VLOOKUP(A135,EData,6,)</f>
        <v>0.52431431936732298</v>
      </c>
    </row>
    <row r="136" spans="1:7" x14ac:dyDescent="0.35">
      <c r="A136" t="s">
        <v>287</v>
      </c>
      <c r="B136" t="s">
        <v>146</v>
      </c>
      <c r="C136" s="4">
        <f>TIMEVALUE(VLOOKUP(A136,EData,2,0))</f>
        <v>0.34658564814814813</v>
      </c>
      <c r="D136" s="4">
        <f>TIMEVALUE(VLOOKUP(A136,EData,3,0))</f>
        <v>0.12475694444444445</v>
      </c>
      <c r="E136" s="4">
        <f>TIMEVALUE(VLOOKUP(A136,BData,9,0))</f>
        <v>0.18931712962962963</v>
      </c>
      <c r="F136">
        <f>VLOOKUP(A136,'[1]OverAll Performance'!$1:$150,2,)</f>
        <v>99</v>
      </c>
      <c r="G136" s="5">
        <f>VLOOKUP(A136,EData,6,)</f>
        <v>0.31066956086157999</v>
      </c>
    </row>
    <row r="137" spans="1:7" x14ac:dyDescent="0.35">
      <c r="A137" t="s">
        <v>288</v>
      </c>
      <c r="B137" t="s">
        <v>147</v>
      </c>
      <c r="C137" s="4">
        <f>TIMEVALUE(VLOOKUP(A137,EData,2,0))</f>
        <v>0.34281250000000002</v>
      </c>
      <c r="D137" s="4">
        <f>TIMEVALUE(VLOOKUP(A137,EData,3,0))</f>
        <v>0.22505787037037037</v>
      </c>
      <c r="E137" s="4">
        <f>TIMEVALUE(VLOOKUP(A137,BData,9,0))</f>
        <v>5.1898148148148152E-2</v>
      </c>
      <c r="F137">
        <f>VLOOKUP(A137,'[1]OverAll Performance'!$1:$150,2,)</f>
        <v>100</v>
      </c>
      <c r="G137" s="5">
        <f>VLOOKUP(A137,EData,6,)</f>
        <v>0.58462473412336702</v>
      </c>
    </row>
    <row r="138" spans="1:7" x14ac:dyDescent="0.35">
      <c r="A138" t="s">
        <v>289</v>
      </c>
      <c r="B138" t="s">
        <v>148</v>
      </c>
      <c r="C138" s="4">
        <f>TIMEVALUE(VLOOKUP(A138,EData,2,0))</f>
        <v>0.35055555555555556</v>
      </c>
      <c r="D138" s="4">
        <f>TIMEVALUE(VLOOKUP(A138,EData,3,0))</f>
        <v>0.11953703703703704</v>
      </c>
      <c r="E138" s="4">
        <f>TIMEVALUE(VLOOKUP(A138,BData,9,0))</f>
        <v>0.21081018518518518</v>
      </c>
      <c r="F138">
        <f>VLOOKUP(A138,'[1]OverAll Performance'!$1:$150,2,)</f>
        <v>101</v>
      </c>
      <c r="G138" s="5">
        <f>VLOOKUP(A138,EData,6,)</f>
        <v>0.31685816164817698</v>
      </c>
    </row>
    <row r="139" spans="1:7" x14ac:dyDescent="0.35">
      <c r="A139" t="s">
        <v>290</v>
      </c>
      <c r="B139" t="s">
        <v>149</v>
      </c>
      <c r="C139" s="4">
        <f>TIMEVALUE(VLOOKUP(A139,EData,2,0))</f>
        <v>0.34575231481481483</v>
      </c>
      <c r="D139" s="4">
        <f>TIMEVALUE(VLOOKUP(A139,EData,3,0))</f>
        <v>0.20268518518518519</v>
      </c>
      <c r="E139" s="4">
        <f>TIMEVALUE(VLOOKUP(A139,BData,9,0))</f>
        <v>5.0046296296296297E-2</v>
      </c>
      <c r="F139">
        <f>VLOOKUP(A139,'[1]OverAll Performance'!$1:$150,2,)</f>
        <v>102</v>
      </c>
      <c r="G139" s="5">
        <f>VLOOKUP(A139,EData,6,)</f>
        <v>0.56375322197301903</v>
      </c>
    </row>
    <row r="140" spans="1:7" x14ac:dyDescent="0.35">
      <c r="A140" t="s">
        <v>291</v>
      </c>
      <c r="B140" t="s">
        <v>150</v>
      </c>
      <c r="C140" s="4">
        <f>TIMEVALUE(VLOOKUP(A140,EData,2,0))</f>
        <v>0.35479166666666667</v>
      </c>
      <c r="D140" s="4">
        <f>TIMEVALUE(VLOOKUP(A140,EData,3,0))</f>
        <v>0.21916666666666668</v>
      </c>
      <c r="E140" s="4">
        <f>TIMEVALUE(VLOOKUP(A140,BData,9,0))</f>
        <v>3.8946759259259257E-2</v>
      </c>
      <c r="F140">
        <f>VLOOKUP(A140,'[1]OverAll Performance'!$1:$150,2,)</f>
        <v>103</v>
      </c>
      <c r="G140" s="5">
        <f>VLOOKUP(A140,EData,6,)</f>
        <v>0.54779147908918902</v>
      </c>
    </row>
    <row r="141" spans="1:7" x14ac:dyDescent="0.35">
      <c r="A141" t="s">
        <v>292</v>
      </c>
      <c r="B141" t="s">
        <v>15</v>
      </c>
      <c r="C141" s="4">
        <f>TIMEVALUE(VLOOKUP(A141,EData,2,0))</f>
        <v>0.36542824074074076</v>
      </c>
      <c r="D141" s="4">
        <f>TIMEVALUE(VLOOKUP(A141,EData,3,0))</f>
        <v>0.15059027777777778</v>
      </c>
      <c r="E141" s="4">
        <f>TIMEVALUE(VLOOKUP(A141,BData,9,0))</f>
        <v>0.16840277777777779</v>
      </c>
      <c r="F141">
        <f>VLOOKUP(A141,'[1]OverAll Performance'!$1:$150,2,)</f>
        <v>104</v>
      </c>
      <c r="G141" s="5">
        <f>VLOOKUP(A141,EData,6,)</f>
        <v>0.37965983593576802</v>
      </c>
    </row>
    <row r="142" spans="1:7" x14ac:dyDescent="0.35">
      <c r="A142" t="s">
        <v>293</v>
      </c>
      <c r="B142" t="s">
        <v>17</v>
      </c>
      <c r="C142" s="4">
        <f>TIMEVALUE(VLOOKUP(A142,EData,2,0))</f>
        <v>0.34370370370370368</v>
      </c>
      <c r="D142" s="4">
        <f>TIMEVALUE(VLOOKUP(A142,EData,3,0))</f>
        <v>0.21891203703703704</v>
      </c>
      <c r="E142" s="4">
        <f>TIMEVALUE(VLOOKUP(A142,BData,9,0))</f>
        <v>5.0127314814814812E-2</v>
      </c>
      <c r="F142">
        <f>VLOOKUP(A142,'[1]OverAll Performance'!$1:$150,2,)</f>
        <v>105</v>
      </c>
      <c r="G142" s="5">
        <f>VLOOKUP(A142,EData,6,)</f>
        <v>0.56529498922413801</v>
      </c>
    </row>
    <row r="143" spans="1:7" x14ac:dyDescent="0.35">
      <c r="A143" t="s">
        <v>294</v>
      </c>
      <c r="B143" t="s">
        <v>19</v>
      </c>
      <c r="C143" s="4">
        <f>TIMEVALUE(VLOOKUP(A143,EData,2,0))</f>
        <v>0.20827546296296295</v>
      </c>
      <c r="D143" s="4">
        <f>TIMEVALUE(VLOOKUP(A143,EData,3,0))</f>
        <v>0.1310300925925926</v>
      </c>
      <c r="E143" s="4">
        <f>TIMEVALUE(VLOOKUP(A143,BData,9,0))</f>
        <v>1.0451388888888889E-2</v>
      </c>
      <c r="F143">
        <f>VLOOKUP(A143,'[1]OverAll Performance'!$1:$150,2,)</f>
        <v>106</v>
      </c>
      <c r="G143" s="5">
        <f>VLOOKUP(A143,EData,6,)</f>
        <v>0.60261183662128404</v>
      </c>
    </row>
    <row r="144" spans="1:7" x14ac:dyDescent="0.35">
      <c r="A144" t="s">
        <v>295</v>
      </c>
      <c r="B144" t="s">
        <v>21</v>
      </c>
      <c r="C144" s="4">
        <f>TIMEVALUE(VLOOKUP(A144,EData,2,0))</f>
        <v>0.35688657407407409</v>
      </c>
      <c r="D144" s="4">
        <f>TIMEVALUE(VLOOKUP(A144,EData,3,0))</f>
        <v>0.19362268518518519</v>
      </c>
      <c r="E144" s="4">
        <f>TIMEVALUE(VLOOKUP(A144,BData,9,0))</f>
        <v>9.5034722222222229E-2</v>
      </c>
      <c r="F144">
        <f>VLOOKUP(A144,'[1]OverAll Performance'!$1:$150,2,)</f>
        <v>107</v>
      </c>
      <c r="G144" s="5">
        <f>VLOOKUP(A144,EData,6,)</f>
        <v>0.49813523593319298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Working Hours</vt:lpstr>
      <vt:lpstr>Work Efficincy</vt:lpstr>
      <vt:lpstr>Active Customer</vt:lpstr>
      <vt:lpstr>Attented calls</vt:lpstr>
      <vt:lpstr>DashBoard2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subhash mishra</dc:creator>
  <cp:lastModifiedBy>subhash mishra</cp:lastModifiedBy>
  <dcterms:created xsi:type="dcterms:W3CDTF">2025-03-11T16:14:05Z</dcterms:created>
  <dcterms:modified xsi:type="dcterms:W3CDTF">2025-03-12T17:27:39Z</dcterms:modified>
</cp:coreProperties>
</file>